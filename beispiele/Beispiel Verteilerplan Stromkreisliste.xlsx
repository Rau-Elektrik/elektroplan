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nleitung" sheetId="1" state="visible" r:id="rId1"/>
    <sheet name="Anlage" sheetId="2" state="visible" r:id="rId2"/>
    <sheet name="Stromkreisliste" sheetId="3" state="visible" r:id="rId3"/>
    <sheet name="Beschriftung" sheetId="4" state="visible" r:id="rId4"/>
    <sheet name="Prüfbericht" sheetId="5" state="visible" r:id="rId5"/>
    <sheet name="Messprotokoll" sheetId="6" state="visible" r:id="rId6"/>
  </sheets>
  <definedNames>
    <definedName name="_xlnm.Print_Area" localSheetId="0">'Anleitung'!$A$1:$B$20</definedName>
    <definedName name="_xlnm.Print_Area" localSheetId="1">'Anlage'!$A$1:$D$31</definedName>
    <definedName name="_xlnm._FilterDatabase" localSheetId="2" hidden="1">'Stromkreisliste'!$A$6:$R$56</definedName>
    <definedName name="_xlnm.Print_Titles" localSheetId="2">'Stromkreisliste'!$6:$6</definedName>
    <definedName name="_xlnm.Print_Area" localSheetId="2">'Stromkreisliste'!$A$1:$R$56</definedName>
    <definedName name="_xlnm.Print_Area" localSheetId="3">'Beschriftung'!$A$1:$N$29</definedName>
    <definedName name="_xlnm.Print_Area" localSheetId="4">'Prüfbericht'!$A$1:$D$55</definedName>
    <definedName name="_xlnm._FilterDatabase" localSheetId="5" hidden="1">'Messprotokoll'!$A$6:$Q$56</definedName>
    <definedName name="_xlnm.Print_Titles" localSheetId="5">'Messprotokoll'!$6:$6</definedName>
    <definedName name="_xlnm.Print_Area" localSheetId="5">'Messprotokoll'!$A$1:$Q$59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9">
    <font>
      <name val="Calibri"/>
      <family val="2"/>
      <color theme="1"/>
      <sz val="11"/>
      <scheme val="minor"/>
    </font>
    <font>
      <name val="Arial"/>
      <b val="1"/>
      <color rgb="001C1C1C"/>
      <sz val="16"/>
    </font>
    <font>
      <name val="Arial"/>
      <color rgb="006E6A66"/>
      <sz val="9"/>
    </font>
    <font>
      <name val="Arial"/>
      <b val="1"/>
      <color rgb="001C1C1C"/>
      <sz val="9"/>
    </font>
    <font>
      <name val="Arial"/>
      <b val="1"/>
      <color rgb="001F5FAD"/>
      <sz val="10"/>
    </font>
    <font>
      <name val="Arial"/>
      <color rgb="001C1C1C"/>
      <sz val="10"/>
    </font>
    <font>
      <name val="Arial"/>
      <i val="1"/>
      <color rgb="006E6A66"/>
      <sz val="8"/>
    </font>
    <font>
      <name val="Arial"/>
      <color rgb="006E6A66"/>
      <sz val="8"/>
    </font>
    <font>
      <name val="Arial"/>
      <b val="1"/>
      <color rgb="001C1C1C"/>
      <sz val="10"/>
    </font>
    <font>
      <name val="Arial"/>
      <b val="1"/>
      <color rgb="00FFFFFF"/>
      <sz val="8"/>
    </font>
    <font>
      <name val="Arial"/>
      <color rgb="00A9A39C"/>
      <sz val="7"/>
    </font>
    <font>
      <name val="Arial"/>
      <color rgb="001C1C1C"/>
      <sz val="9"/>
    </font>
    <font>
      <name val="Arial"/>
      <b val="1"/>
      <color rgb="001C1C1C"/>
      <sz val="14"/>
    </font>
    <font>
      <name val="Arial"/>
      <i val="1"/>
      <color rgb="006E6A66"/>
      <sz val="7"/>
    </font>
    <font>
      <name val="Arial"/>
      <color rgb="006E6A66"/>
      <sz val="7"/>
    </font>
    <font>
      <name val="Arial"/>
      <color rgb="001C1C1C"/>
      <sz val="7"/>
    </font>
    <font>
      <name val="Arial"/>
      <b val="1"/>
      <color rgb="00C00000"/>
      <sz val="8"/>
    </font>
    <font>
      <name val="Arial"/>
      <color rgb="00A9A39C"/>
      <sz val="6"/>
    </font>
    <font>
      <name val="Arial"/>
      <color rgb="001C1C1C"/>
      <sz val="8"/>
    </font>
  </fonts>
  <fills count="5">
    <fill>
      <patternFill/>
    </fill>
    <fill>
      <patternFill patternType="gray125"/>
    </fill>
    <fill>
      <patternFill patternType="solid">
        <fgColor rgb="00F5F1EC"/>
      </patternFill>
    </fill>
    <fill>
      <patternFill patternType="solid">
        <fgColor rgb="00FFF5C8"/>
      </patternFill>
    </fill>
    <fill>
      <patternFill patternType="solid">
        <fgColor rgb="001C1C1C"/>
      </patternFill>
    </fill>
  </fills>
  <borders count="10">
    <border>
      <left/>
      <right/>
      <top/>
      <bottom/>
      <diagonal/>
    </border>
    <border>
      <bottom style="medium">
        <color rgb="001F5FAD"/>
      </bottom>
    </border>
    <border>
      <left style="thin">
        <color rgb="00D6D1CB"/>
      </left>
      <right style="thin">
        <color rgb="00D6D1CB"/>
      </right>
      <top style="thin">
        <color rgb="00D6D1CB"/>
      </top>
      <bottom style="thin">
        <color rgb="00D6D1CB"/>
      </bottom>
    </border>
    <border>
      <left/>
      <right/>
      <top style="thin">
        <color rgb="00D6D1CB"/>
      </top>
      <bottom/>
      <diagonal/>
    </border>
    <border>
      <left/>
      <right style="thin">
        <color rgb="00D6D1CB"/>
      </right>
      <top style="thin">
        <color rgb="00D6D1CB"/>
      </top>
      <bottom/>
      <diagonal/>
    </border>
    <border>
      <left/>
      <right/>
      <top style="thin">
        <color rgb="00D6D1CB"/>
      </top>
      <bottom style="thin">
        <color rgb="00D6D1CB"/>
      </bottom>
      <diagonal/>
    </border>
    <border>
      <left/>
      <right style="thin">
        <color rgb="00D6D1CB"/>
      </right>
      <top style="thin">
        <color rgb="00D6D1CB"/>
      </top>
      <bottom style="thin">
        <color rgb="00D6D1CB"/>
      </bottom>
      <diagonal/>
    </border>
    <border>
      <left style="dashed">
        <color rgb="00A9A39C"/>
      </left>
      <right style="dashed">
        <color rgb="00A9A39C"/>
      </right>
      <top style="dashed">
        <color rgb="00A9A39C"/>
      </top>
      <bottom style="dashed">
        <color rgb="00A9A39C"/>
      </bottom>
    </border>
    <border>
      <bottom style="thin">
        <color rgb="001C1C1C"/>
      </bottom>
    </border>
    <border>
      <left/>
      <right/>
      <top/>
      <bottom style="medium">
        <color rgb="001F5FAD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64" fontId="5" fillId="3" borderId="2" applyAlignment="1" pivotButton="0" quotePrefix="0" xfId="0">
      <alignment horizontal="left" vertical="center"/>
    </xf>
    <xf numFmtId="2" fontId="5" fillId="3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center"/>
    </xf>
    <xf numFmtId="0" fontId="15" fillId="0" borderId="7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/>
    </xf>
    <xf numFmtId="164" fontId="5" fillId="0" borderId="2" applyAlignment="1" pivotButton="0" quotePrefix="0" xfId="0">
      <alignment horizontal="left" vertical="center"/>
    </xf>
    <xf numFmtId="0" fontId="0" fillId="0" borderId="8" pivotButton="0" quotePrefix="0" xfId="0"/>
    <xf numFmtId="0" fontId="7" fillId="0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right" vertical="center" wrapText="1"/>
    </xf>
    <xf numFmtId="2" fontId="5" fillId="3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2" fontId="11" fillId="3" borderId="2" applyAlignment="1" pivotButton="0" quotePrefix="0" xfId="0">
      <alignment horizontal="center" vertical="center"/>
    </xf>
    <xf numFmtId="1" fontId="11" fillId="0" borderId="2" applyAlignment="1" pivotButton="0" quotePrefix="0" xfId="0">
      <alignment horizontal="center" vertical="center"/>
    </xf>
    <xf numFmtId="2" fontId="11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ont>
        <name val="Arial"/>
        <b val="1"/>
        <color rgb="00C00000"/>
      </font>
    </dxf>
    <dxf>
      <fill>
        <patternFill patternType="solid">
          <fgColor rgb="00F8CBAD"/>
        </patternFill>
      </fill>
    </dxf>
    <dxf>
      <font>
        <name val="Arial"/>
        <b val="1"/>
        <color rgb="00C00000"/>
      </font>
      <fill>
        <patternFill patternType="solid">
          <fgColor rgb="00FDE2E2"/>
        </patternFill>
      </fill>
    </dxf>
    <dxf>
      <font>
        <name val="Arial"/>
        <b val="1"/>
        <color rgb="002E7D32"/>
      </font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Max Mustermann</author>
  </authors>
  <commentList>
    <comment ref="D6" authorId="0" shapeId="0">
      <text>
        <t>Platz = erste Teilungseinheit (TE) des Geräts, von links gezählt.</t>
      </text>
    </comment>
    <comment ref="R6" authorId="0" shapeId="0">
      <text>
        <t>Text für den Beschriftungsstreifen. Mehr als 14 Zeichen passen nicht in 1 TE und werden orange markiert.</t>
      </text>
    </comment>
  </commentList>
</comments>
</file>

<file path=xl/comments/comment2.xml><?xml version="1.0" encoding="utf-8"?>
<comments xmlns="http://schemas.openxmlformats.org/spreadsheetml/2006/main">
  <authors>
    <author>Max Mustermann</author>
  </authors>
  <commentList>
    <comment ref="B52" authorId="0" shapeId="0">
      <text>
        <t>Prüfdatum + 4 Jahre (Empfehlung für Wohngebäude). Bei Bedarf überschreiben.</t>
      </text>
    </comment>
  </commentList>
</comments>
</file>

<file path=xl/comments/comment3.xml><?xml version="1.0" encoding="utf-8"?>
<comments xmlns="http://schemas.openxmlformats.org/spreadsheetml/2006/main">
  <authors>
    <author>Max Mustermann</author>
  </authors>
  <commentList>
    <comment ref="F5" authorId="0" shapeId="0">
      <text>
        <t>Mindestwert Isolationswiderstand bei Prüfspannung 500 V DC: 1 MΩ.</t>
      </text>
    </comment>
    <comment ref="H5" authorId="0" shapeId="0">
      <text>
        <t>Faktor 2/3 berücksichtigt die Erwärmung der Leiter im Betrieb (Bewertung gemessener Werte nach DIN VDE 0100-600). Für reine Rechenwerte 1 eintragen.</t>
      </text>
    </comment>
    <comment ref="J5" authorId="0" shapeId="0">
      <text>
        <t>Abschaltzeit bei IΔn für unverzögerte RCD: höchstens 300 ms.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5162550</colOff>
      <row>0</row>
      <rowOff>38100</rowOff>
    </from>
    <ext cx="1238250" cy="447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762000</colOff>
      <row>0</row>
      <rowOff>38100</rowOff>
    </from>
    <ext cx="1238250" cy="447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1895475</colOff>
      <row>0</row>
      <rowOff>38100</rowOff>
    </from>
    <ext cx="1238250" cy="447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266700</colOff>
      <row>0</row>
      <rowOff>38100</rowOff>
    </from>
    <ext cx="91440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762000</colOff>
      <row>0</row>
      <rowOff>38100</rowOff>
    </from>
    <ext cx="1238250" cy="447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95250</colOff>
      <row>0</row>
      <rowOff>38100</rowOff>
    </from>
    <ext cx="1238250" cy="447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1" ht="30" customHeight="1">
      <c r="A1" s="1" t="inlineStr">
        <is>
          <t>Verteilerdokumentation</t>
        </is>
      </c>
    </row>
    <row r="2" ht="16" customHeight="1">
      <c r="A2" s="2" t="inlineStr">
        <is>
          <t>So arbeitest du mit dieser Vorlage</t>
        </is>
      </c>
    </row>
    <row r="3" ht="8" customHeight="1">
      <c r="A3" s="3" t="n"/>
      <c r="B3" s="3" t="n"/>
    </row>
    <row r="5" ht="20" customHeight="1">
      <c r="A5" s="4" t="inlineStr">
        <is>
          <t>ABLAUF</t>
        </is>
      </c>
      <c r="B5" s="48" t="n"/>
    </row>
    <row r="6" ht="28" customHeight="1">
      <c r="A6" s="5" t="inlineStr">
        <is>
          <t>1</t>
        </is>
      </c>
      <c r="B6" s="6" t="inlineStr">
        <is>
          <t>Vorlage per Doppelklick öffnen – Excel legt eine neue Datei an. Gleich im Kundenordner speichern, z. B. als „JJJJ-MM-TT Verteilerdokumentation &lt;Verteiler&gt;.xlsx“.</t>
        </is>
      </c>
    </row>
    <row r="7" ht="28" customHeight="1">
      <c r="A7" s="5" t="inlineStr">
        <is>
          <t>2</t>
        </is>
      </c>
      <c r="B7" s="6" t="inlineStr">
        <is>
          <t>Blatt „Anlage“: Kunde, Verteiler, Netz und Erdung ausfüllen. Diese Angaben erscheinen automatisch auf allen anderen Blättern.</t>
        </is>
      </c>
    </row>
    <row r="8" ht="41" customHeight="1">
      <c r="A8" s="5" t="inlineStr">
        <is>
          <t>3</t>
        </is>
      </c>
      <c r="B8" s="6" t="inlineStr">
        <is>
          <t>Blatt „Stromkreisliste“: eine Zeile je Schutzorgan (FI, LS, Hauptschalter …). Reihe und Platz = Position im Verteiler (Reihe 1 oben, Platz 1 links, in Teilungseinheiten). Die Spalte „Beschriftung kurz“ wird zum Beschriftungsstreifen.</t>
        </is>
      </c>
    </row>
    <row r="9" ht="41" customHeight="1">
      <c r="A9" s="5" t="inlineStr">
        <is>
          <t>4</t>
        </is>
      </c>
      <c r="B9" s="6" t="inlineStr">
        <is>
          <t>Blatt „Beschriftung“: füllt sich selbst. Mit 100 % drucken (keine Skalierung), ein Feld = 1 TE = 17,5 mm. Am Probedruck mit dem Lineal nachmessen, ausschneiden, in die Beschriftungsleiste des Verteilers schieben.</t>
        </is>
      </c>
    </row>
    <row r="10" ht="28" customHeight="1">
      <c r="A10" s="5" t="inlineStr">
        <is>
          <t>5</t>
        </is>
      </c>
      <c r="B10" s="6" t="inlineStr">
        <is>
          <t>Blatt „Messprotokoll“: Messwerte je Stromkreis eintragen. Ik, Zs max und das Ergebnis rechnen sich selbst. Die Grenzwerte stehen oben im Blatt und lassen sich anpassen.</t>
        </is>
      </c>
    </row>
    <row r="11" ht="28" customHeight="1">
      <c r="A11" s="5" t="inlineStr">
        <is>
          <t>6</t>
        </is>
      </c>
      <c r="B11" s="6" t="inlineStr">
        <is>
          <t>Blatt „Prüfbericht“: Besichtigen und Erproben abhaken, Mängel eintragen, Gesamtergebnis wählen, unterschreiben.</t>
        </is>
      </c>
    </row>
    <row r="12" ht="41" customHeight="1">
      <c r="A12" s="5" t="inlineStr">
        <is>
          <t>7</t>
        </is>
      </c>
      <c r="B12" s="6" t="inlineStr">
        <is>
          <t>Für den Kunden: Stromkreisliste, Prüfbericht und Messprotokoll als PDF speichern (Datei › Exportieren) und mit der Kundendokumentation übergeben. Eine Kopie der Stromkreisliste gehört in den Verteiler.</t>
        </is>
      </c>
    </row>
    <row r="13" ht="15" customHeight="1">
      <c r="A13" s="5" t="inlineStr"/>
      <c r="B13" s="6" t="inlineStr"/>
    </row>
    <row r="14" ht="20" customHeight="1">
      <c r="A14" s="4" t="inlineStr">
        <is>
          <t>FARBEN</t>
        </is>
      </c>
      <c r="B14" s="48" t="n"/>
    </row>
    <row r="15" ht="28" customHeight="1">
      <c r="A15" s="5" t="inlineStr"/>
      <c r="B15" s="6" t="inlineStr">
        <is>
          <t>Gelbe Zellen = deine Eingabe.  Weiße Zellen = Formel, nicht überschreiben.  Zeilen 7–9 der Stromkreisliste sind Beispiele – überschreiben oder löschen.</t>
        </is>
      </c>
    </row>
    <row r="16" ht="28" customHeight="1">
      <c r="A16" s="5" t="inlineStr"/>
      <c r="B16" s="6" t="inlineStr">
        <is>
          <t>Leere Zeilen beim Drucken ausblenden: in der Kopfzeile den Filter bei „BMK“ öffnen und „(Leere)“ abwählen.</t>
        </is>
      </c>
    </row>
    <row r="17" ht="15" customHeight="1">
      <c r="A17" s="5" t="inlineStr"/>
      <c r="B17" s="6" t="inlineStr"/>
    </row>
    <row r="18" ht="20" customHeight="1">
      <c r="A18" s="4" t="inlineStr">
        <is>
          <t>WICHTIG</t>
        </is>
      </c>
      <c r="B18" s="48" t="n"/>
    </row>
    <row r="19" ht="28" customHeight="1">
      <c r="A19" s="5" t="inlineStr"/>
      <c r="B19" s="6" t="inlineStr">
        <is>
          <t>Die automatische Bewertung ist eine Hilfe, kein Ersatz für die Beurteilung durch die Elektrofachkraft. Maßgeblich sind DIN VDE 0100-600, DIN VDE 0105-100 und die Angaben der Gerätehersteller.</t>
        </is>
      </c>
    </row>
  </sheetData>
  <mergeCells count="3">
    <mergeCell ref="A18:B18"/>
    <mergeCell ref="A14:B14"/>
    <mergeCell ref="A5:B5"/>
  </mergeCells>
  <printOptions horizontalCentered="1"/>
  <pageMargins left="0.5" right="0.5" top="0.55" bottom="0.65" header="0.25" footer="0.3"/>
  <pageSetup orientation="portrait" paperSize="9" fitToHeight="1" fitToWidth="1"/>
  <headerFooter>
    <oddHeader/>
    <oddFooter>&amp;L&amp;"Arial,Regular"&amp;7 &amp;K6E6A66Muster Elektrotechnik GmbH · Max Mustermann, Elektrotechnikermeister · 0123 456789 · info@muster-elektro.de&amp;R&amp;"Arial,Regular"&amp;7 &amp;K6E6A66Seite &amp;P von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22" customWidth="1" min="3" max="3"/>
    <col width="30" customWidth="1" min="4" max="4"/>
  </cols>
  <sheetData>
    <row r="1" ht="30" customHeight="1">
      <c r="A1" s="1" t="inlineStr">
        <is>
          <t>Verteilerdokumentation</t>
        </is>
      </c>
    </row>
    <row r="2" ht="16" customHeight="1">
      <c r="A2" s="2" t="inlineStr">
        <is>
          <t>Anlagen- und Verteilerdaten</t>
        </is>
      </c>
    </row>
    <row r="3" ht="8" customHeight="1">
      <c r="A3" s="3" t="n"/>
      <c r="B3" s="3" t="n"/>
      <c r="C3" s="3" t="n"/>
      <c r="D3" s="3" t="n"/>
    </row>
    <row r="4" ht="24" customHeight="1">
      <c r="A4" s="7" t="inlineStr">
        <is>
          <t>Gelbe Felder ausfüllen – die Angaben erscheinen automatisch auf Stromkreisliste, Beschriftung, Prüfbericht und Messprotokoll.</t>
        </is>
      </c>
    </row>
    <row r="6" ht="20" customHeight="1">
      <c r="A6" s="4" t="inlineStr">
        <is>
          <t>KUNDE UND OBJEKT</t>
        </is>
      </c>
      <c r="B6" s="48" t="n"/>
      <c r="C6" s="48" t="n"/>
      <c r="D6" s="48" t="n"/>
    </row>
    <row r="7" ht="20" customHeight="1">
      <c r="A7" s="8" t="inlineStr">
        <is>
          <t>Auftraggeber / Betreiber</t>
        </is>
      </c>
      <c r="B7" s="9" t="inlineStr">
        <is>
          <t>Familie Muster</t>
        </is>
      </c>
      <c r="C7" s="8" t="inlineStr">
        <is>
          <t>Kunden-Nr.</t>
        </is>
      </c>
      <c r="D7" s="9" t="n"/>
    </row>
    <row r="8" ht="20" customHeight="1">
      <c r="A8" s="8" t="inlineStr">
        <is>
          <t>Anlagenanschrift</t>
        </is>
      </c>
      <c r="B8" s="9" t="inlineStr">
        <is>
          <t>Musterstraße 12, 12345 Musterstadt</t>
        </is>
      </c>
      <c r="C8" s="10" t="n"/>
      <c r="D8" s="11" t="n"/>
    </row>
    <row r="9" ht="20" customHeight="1">
      <c r="A9" s="8" t="inlineStr">
        <is>
          <t>Auftrags-Nr.</t>
        </is>
      </c>
      <c r="B9" s="9" t="inlineStr">
        <is>
          <t>2026-014</t>
        </is>
      </c>
      <c r="C9" s="8" t="inlineStr">
        <is>
          <t>Datum</t>
        </is>
      </c>
      <c r="D9" s="12" t="n">
        <v>46303</v>
      </c>
    </row>
    <row r="11" ht="20" customHeight="1">
      <c r="A11" s="4" t="inlineStr">
        <is>
          <t>VERTEILER</t>
        </is>
      </c>
      <c r="B11" s="48" t="n"/>
      <c r="C11" s="48" t="n"/>
      <c r="D11" s="48" t="n"/>
    </row>
    <row r="12" ht="20" customHeight="1">
      <c r="A12" s="8" t="inlineStr">
        <is>
          <t>Bezeichnung (z. B. UV EG)</t>
        </is>
      </c>
      <c r="B12" s="9" t="inlineStr">
        <is>
          <t>UV Wohnung 1. OG</t>
        </is>
      </c>
      <c r="C12" s="8" t="inlineStr">
        <is>
          <t>Standort</t>
        </is>
      </c>
      <c r="D12" s="9" t="inlineStr">
        <is>
          <t>Flur</t>
        </is>
      </c>
    </row>
    <row r="13" ht="20" customHeight="1">
      <c r="A13" s="8" t="inlineStr">
        <is>
          <t>Hersteller / Typ</t>
        </is>
      </c>
      <c r="B13" s="9" t="n"/>
      <c r="C13" s="8" t="inlineStr">
        <is>
          <t>Reihen × TE</t>
        </is>
      </c>
      <c r="D13" s="9" t="n"/>
    </row>
    <row r="14" ht="20" customHeight="1">
      <c r="A14" s="8" t="inlineStr">
        <is>
          <t>Zuleitung (Typ, Querschnitt)</t>
        </is>
      </c>
      <c r="B14" s="9" t="inlineStr">
        <is>
          <t>NYM-J 5×10 mm²</t>
        </is>
      </c>
      <c r="C14" s="8" t="inlineStr">
        <is>
          <t>Vorsicherung</t>
        </is>
      </c>
      <c r="D14" s="9" t="inlineStr">
        <is>
          <t>SLS E 35 A</t>
        </is>
      </c>
    </row>
    <row r="16" ht="20" customHeight="1">
      <c r="A16" s="4" t="inlineStr">
        <is>
          <t>NETZ UND ERDUNG</t>
        </is>
      </c>
      <c r="B16" s="48" t="n"/>
      <c r="C16" s="48" t="n"/>
      <c r="D16" s="48" t="n"/>
    </row>
    <row r="17" ht="20" customHeight="1">
      <c r="A17" s="8" t="inlineStr">
        <is>
          <t>Netzbetreiber</t>
        </is>
      </c>
      <c r="B17" s="9" t="n"/>
      <c r="C17" s="8" t="inlineStr">
        <is>
          <t>Zählernummer</t>
        </is>
      </c>
      <c r="D17" s="9" t="n"/>
    </row>
    <row r="18" ht="20" customHeight="1">
      <c r="A18" s="8" t="inlineStr">
        <is>
          <t>Netzsystem</t>
        </is>
      </c>
      <c r="B18" s="9" t="inlineStr">
        <is>
          <t>TN-C-S</t>
        </is>
      </c>
      <c r="C18" s="8" t="inlineStr">
        <is>
          <t>Nennspannung</t>
        </is>
      </c>
      <c r="D18" s="9" t="inlineStr">
        <is>
          <t>230/400 V, 50 Hz</t>
        </is>
      </c>
    </row>
    <row r="19" ht="20" customHeight="1">
      <c r="A19" s="8" t="inlineStr">
        <is>
          <t>Hausanschlusssicherung</t>
        </is>
      </c>
      <c r="B19" s="9" t="n"/>
      <c r="C19" s="8" t="inlineStr">
        <is>
          <t>Hauptpotentialausgleich</t>
        </is>
      </c>
      <c r="D19" s="9" t="n"/>
    </row>
    <row r="20" ht="20" customHeight="1">
      <c r="A20" s="8" t="inlineStr">
        <is>
          <t>Überspannungsschutz</t>
        </is>
      </c>
      <c r="B20" s="9" t="inlineStr">
        <is>
          <t>Typ 2</t>
        </is>
      </c>
      <c r="C20" s="8" t="inlineStr">
        <is>
          <t>Erdungswiderstand RA (Ω)</t>
        </is>
      </c>
      <c r="D20" s="13" t="n"/>
    </row>
    <row r="21" ht="20" customHeight="1">
      <c r="A21" s="8" t="inlineStr">
        <is>
          <t>Erdungsanlage</t>
        </is>
      </c>
      <c r="B21" s="9" t="n"/>
    </row>
    <row r="23" ht="20" customHeight="1">
      <c r="A23" s="4" t="inlineStr">
        <is>
          <t>ERRICHTER UND PRÜFER</t>
        </is>
      </c>
      <c r="B23" s="48" t="n"/>
      <c r="C23" s="48" t="n"/>
      <c r="D23" s="48" t="n"/>
    </row>
    <row r="24" ht="20" customHeight="1">
      <c r="A24" s="8" t="inlineStr">
        <is>
          <t>Errichter</t>
        </is>
      </c>
      <c r="B24" s="14" t="inlineStr">
        <is>
          <t>Muster Elektrotechnik GmbH · Max Mustermann, Elektrotechnikermeister · Musterstraße 1 · 12345 Musterstadt</t>
        </is>
      </c>
      <c r="C24" s="10" t="n"/>
      <c r="D24" s="11" t="n"/>
    </row>
    <row r="25" ht="20" customHeight="1">
      <c r="A25" s="8" t="inlineStr">
        <is>
          <t>Installateurverzeichnis</t>
        </is>
      </c>
      <c r="B25" s="14" t="n"/>
      <c r="C25" s="8" t="inlineStr">
        <is>
          <t>HWK-Betriebs-Nr.</t>
        </is>
      </c>
      <c r="D25" s="14" t="n"/>
    </row>
    <row r="26" ht="20" customHeight="1">
      <c r="A26" s="8" t="inlineStr">
        <is>
          <t>Prüfer</t>
        </is>
      </c>
      <c r="B26" s="9" t="inlineStr">
        <is>
          <t>Max Mustermann</t>
        </is>
      </c>
      <c r="C26" s="8" t="inlineStr">
        <is>
          <t>Telefon</t>
        </is>
      </c>
      <c r="D26" s="14" t="inlineStr">
        <is>
          <t>0123 456789</t>
        </is>
      </c>
    </row>
    <row r="28" ht="20" customHeight="1">
      <c r="A28" s="4" t="inlineStr">
        <is>
          <t>ZUSAMMENFASSUNG (AUTOMATISCH)</t>
        </is>
      </c>
      <c r="B28" s="48" t="n"/>
      <c r="C28" s="48" t="n"/>
      <c r="D28" s="48" t="n"/>
    </row>
    <row r="29" ht="20" customHeight="1">
      <c r="A29" s="8" t="inlineStr">
        <is>
          <t>Stromkreise erfasst</t>
        </is>
      </c>
      <c r="B29" s="14">
        <f>COUNTIF(Stromkreisliste!B7:B56,"?*")</f>
        <v/>
      </c>
      <c r="C29" s="8" t="inlineStr">
        <is>
          <t>Stromkreise gemessen</t>
        </is>
      </c>
      <c r="D29" s="14">
        <f>COUNTIF(Messprotokoll!P7:P56,"?*")</f>
        <v/>
      </c>
    </row>
    <row r="30" ht="20" customHeight="1">
      <c r="A30" s="8" t="inlineStr">
        <is>
          <t>davon in Ordnung</t>
        </is>
      </c>
      <c r="B30" s="14">
        <f>COUNTIF(Messprotokoll!P7:P56,"i.O.")</f>
        <v/>
      </c>
      <c r="C30" s="8" t="inlineStr">
        <is>
          <t>davon nicht in Ordnung</t>
        </is>
      </c>
      <c r="D30" s="14">
        <f>COUNTIF(Messprotokoll!P7:P56,"n.i.O.")</f>
        <v/>
      </c>
    </row>
    <row r="31" ht="20" customHeight="1">
      <c r="A31" s="8" t="inlineStr">
        <is>
          <t>Ergebnis der Messungen</t>
        </is>
      </c>
      <c r="B31" s="15">
        <f>IF(D30&gt;0,"Mängel festgestellt – siehe Messprotokoll",IF(B30&gt;0,"Alle gemessenen Stromkreise in Ordnung","noch keine Messwerte"))</f>
        <v/>
      </c>
      <c r="C31" s="10" t="n"/>
      <c r="D31" s="11" t="n"/>
    </row>
  </sheetData>
  <mergeCells count="9">
    <mergeCell ref="A23:D23"/>
    <mergeCell ref="A6:D6"/>
    <mergeCell ref="B31:D31"/>
    <mergeCell ref="A4:D4"/>
    <mergeCell ref="B8:D8"/>
    <mergeCell ref="A16:D16"/>
    <mergeCell ref="A11:D11"/>
    <mergeCell ref="A28:D28"/>
    <mergeCell ref="B24:D24"/>
  </mergeCells>
  <conditionalFormatting sqref="B31">
    <cfRule type="expression" priority="1" dxfId="0">
      <formula>$D$30&gt;0</formula>
    </cfRule>
  </conditionalFormatting>
  <dataValidations count="4">
    <dataValidation sqref="B18" showDropDown="0" showInputMessage="0" showErrorMessage="0" allowBlank="1" type="list">
      <formula1>"TN-C-S,TN-S,TT,TN-C"</formula1>
    </dataValidation>
    <dataValidation sqref="D19" showDropDown="0" showInputMessage="0" showErrorMessage="0" allowBlank="1" type="list">
      <formula1>"vorhanden,nicht vorhanden"</formula1>
    </dataValidation>
    <dataValidation sqref="B20" showDropDown="0" showInputMessage="0" showErrorMessage="0" allowBlank="1" type="list">
      <formula1>"Typ 1+2,Typ 2,Typ 3,nicht vorhanden"</formula1>
    </dataValidation>
    <dataValidation sqref="B21" showDropDown="0" showInputMessage="0" showErrorMessage="0" allowBlank="1" type="list">
      <formula1>"Fundamenterder,Ringerder,Tiefenerder,unbekannt"</formula1>
    </dataValidation>
  </dataValidations>
  <printOptions horizontalCentered="1"/>
  <pageMargins left="0.5" right="0.5" top="0.55" bottom="0.65" header="0.25" footer="0.3"/>
  <pageSetup orientation="portrait" paperSize="9" fitToHeight="1" fitToWidth="1"/>
  <headerFooter>
    <oddHeader/>
    <oddFooter>&amp;L&amp;"Arial,Regular"&amp;7 &amp;K6E6A66Muster Elektrotechnik GmbH · Max Mustermann, Elektrotechnikermeister · 0123 456789 · info@muster-elektro.de&amp;R&amp;"Arial,Regular"&amp;7 &amp;K6E6A66Seite &amp;P von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7" customWidth="1" min="2" max="2"/>
    <col width="6" customWidth="1" min="3" max="3"/>
    <col width="6.5" customWidth="1" min="4" max="4"/>
    <col width="6.5" customWidth="1" min="5" max="5"/>
    <col width="14" customWidth="1" min="6" max="6"/>
    <col width="5.5" customWidth="1" min="7" max="7"/>
    <col width="6" customWidth="1" min="8" max="8"/>
    <col width="6" customWidth="1" min="9" max="9"/>
    <col width="9" customWidth="1" min="10" max="10"/>
    <col width="7" customWidth="1" min="11" max="11"/>
    <col width="6" customWidth="1" min="12" max="12"/>
    <col width="10" customWidth="1" min="13" max="13"/>
    <col width="9" customWidth="1" min="14" max="14"/>
    <col width="7.5" customWidth="1" min="15" max="15"/>
    <col width="16" customWidth="1" min="16" max="16"/>
    <col width="30" customWidth="1" min="17" max="17"/>
    <col width="17" customWidth="1" min="18" max="18"/>
    <col hidden="1" width="6" customWidth="1" min="19" max="19"/>
  </cols>
  <sheetData>
    <row r="1" ht="30" customHeight="1">
      <c r="A1" s="1" t="inlineStr">
        <is>
          <t>Stromkreisliste</t>
        </is>
      </c>
    </row>
    <row r="2" ht="16" customHeight="1">
      <c r="A2" s="2" t="inlineStr">
        <is>
          <t>Verteilerdokumentation · Muster Elektrotechnik GmbH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 ht="20" customHeight="1">
      <c r="A4" s="8" t="inlineStr">
        <is>
          <t>Verteiler</t>
        </is>
      </c>
      <c r="B4" s="11" t="n"/>
      <c r="C4" s="15">
        <f>IF(Anlage!B12="","",Anlage!B12&amp;IF(Anlage!D12="",""," · "&amp;Anlage!D12))</f>
        <v/>
      </c>
      <c r="D4" s="10" t="n"/>
      <c r="E4" s="10" t="n"/>
      <c r="F4" s="11" t="n"/>
      <c r="G4" s="8" t="inlineStr">
        <is>
          <t>Objekt</t>
        </is>
      </c>
      <c r="H4" s="10" t="n"/>
      <c r="I4" s="11" t="n"/>
      <c r="J4" s="14">
        <f>IF(Anlage!B8="","",Anlage!B8)</f>
        <v/>
      </c>
      <c r="K4" s="10" t="n"/>
      <c r="L4" s="10" t="n"/>
      <c r="M4" s="10" t="n"/>
      <c r="N4" s="10" t="n"/>
      <c r="O4" s="11" t="n"/>
      <c r="P4" s="8" t="inlineStr">
        <is>
          <t>Auftraggeber</t>
        </is>
      </c>
      <c r="Q4" s="14">
        <f>IF(Anlage!B7="","",Anlage!B7)</f>
        <v/>
      </c>
      <c r="R4" s="16">
        <f>IF(Anlage!D9="","",Anlage!D9)</f>
        <v/>
      </c>
    </row>
    <row r="5" ht="18" customHeight="1">
      <c r="A5" s="7" t="inlineStr">
        <is>
          <t>Eine Zeile je Schutzorgan. Reihe / Platz = Position im Verteiler (Reihe 1 oben, Platz 1 links) – daraus entsteht das Blatt „Beschriftung“. Zeilen 7–9 sind Beispiele: überschreiben oder löschen.</t>
        </is>
      </c>
    </row>
    <row r="6" ht="34" customHeight="1">
      <c r="A6" s="17" t="inlineStr">
        <is>
          <t>Nr.</t>
        </is>
      </c>
      <c r="B6" s="17" t="inlineStr">
        <is>
          <t>BMK</t>
        </is>
      </c>
      <c r="C6" s="17" t="inlineStr">
        <is>
          <t>Reihe</t>
        </is>
      </c>
      <c r="D6" s="17" t="inlineStr">
        <is>
          <t>Platz (TE)</t>
        </is>
      </c>
      <c r="E6" s="17" t="inlineStr">
        <is>
          <t>Breite (TE)</t>
        </is>
      </c>
      <c r="F6" s="17" t="inlineStr">
        <is>
          <t>Schutzorgan</t>
        </is>
      </c>
      <c r="G6" s="17" t="inlineStr">
        <is>
          <t>Char.</t>
        </is>
      </c>
      <c r="H6" s="17" t="inlineStr">
        <is>
          <t>In (A)</t>
        </is>
      </c>
      <c r="I6" s="17" t="inlineStr">
        <is>
          <t>Pole</t>
        </is>
      </c>
      <c r="J6" s="17" t="inlineStr">
        <is>
          <t>vor-geschalteter FI</t>
        </is>
      </c>
      <c r="K6" s="17" t="inlineStr">
        <is>
          <t>IΔn (mA)</t>
        </is>
      </c>
      <c r="L6" s="17" t="inlineStr">
        <is>
          <t>FI-Typ</t>
        </is>
      </c>
      <c r="M6" s="17" t="inlineStr">
        <is>
          <t>Leitung</t>
        </is>
      </c>
      <c r="N6" s="17" t="inlineStr">
        <is>
          <t>Adern × mm²</t>
        </is>
      </c>
      <c r="O6" s="17" t="inlineStr">
        <is>
          <t>Länge ca. (m)</t>
        </is>
      </c>
      <c r="P6" s="17" t="inlineStr">
        <is>
          <t>Raum / Bereich</t>
        </is>
      </c>
      <c r="Q6" s="17" t="inlineStr">
        <is>
          <t>Verbraucher / Beschreibung</t>
        </is>
      </c>
      <c r="R6" s="17" t="inlineStr">
        <is>
          <t>Beschriftung kurz (max. 14 Zeichen)</t>
        </is>
      </c>
      <c r="S6" s="18" t="inlineStr">
        <is>
          <t>Schlüssel</t>
        </is>
      </c>
    </row>
    <row r="7" ht="16" customHeight="1">
      <c r="A7" s="19">
        <f>IF(B7="","",ROW()-6)</f>
        <v/>
      </c>
      <c r="B7" s="20" t="inlineStr">
        <is>
          <t>Q1</t>
        </is>
      </c>
      <c r="C7" s="21" t="n">
        <v>1</v>
      </c>
      <c r="D7" s="21" t="n">
        <v>1</v>
      </c>
      <c r="E7" s="21" t="n">
        <v>3</v>
      </c>
      <c r="F7" s="20" t="inlineStr">
        <is>
          <t>Hauptschalter</t>
        </is>
      </c>
      <c r="G7" s="21" t="n"/>
      <c r="H7" s="21" t="n">
        <v>63</v>
      </c>
      <c r="I7" s="21" t="inlineStr">
        <is>
          <t>3</t>
        </is>
      </c>
      <c r="J7" s="20" t="n"/>
      <c r="K7" s="21" t="n"/>
      <c r="L7" s="21" t="n"/>
      <c r="M7" s="20" t="n"/>
      <c r="N7" s="20" t="n"/>
      <c r="O7" s="21" t="n"/>
      <c r="P7" s="20" t="n"/>
      <c r="Q7" s="20" t="n"/>
      <c r="R7" s="20" t="inlineStr">
        <is>
          <t>Hauptschalter</t>
        </is>
      </c>
      <c r="S7" s="18">
        <f>IF(OR(C7="",D7=""),"",C7&amp;"-"&amp;D7)</f>
        <v/>
      </c>
    </row>
    <row r="8" ht="16" customHeight="1">
      <c r="A8" s="19">
        <f>IF(B8="","",ROW()-6)</f>
        <v/>
      </c>
      <c r="B8" s="20" t="inlineStr">
        <is>
          <t>F0</t>
        </is>
      </c>
      <c r="C8" s="21" t="n">
        <v>1</v>
      </c>
      <c r="D8" s="21" t="n">
        <v>4</v>
      </c>
      <c r="E8" s="21" t="n">
        <v>4</v>
      </c>
      <c r="F8" s="20" t="inlineStr">
        <is>
          <t>Überspannungsschutz</t>
        </is>
      </c>
      <c r="G8" s="21" t="n"/>
      <c r="H8" s="21" t="n"/>
      <c r="I8" s="21" t="inlineStr">
        <is>
          <t>4</t>
        </is>
      </c>
      <c r="J8" s="20" t="n"/>
      <c r="K8" s="21" t="n"/>
      <c r="L8" s="21" t="n"/>
      <c r="M8" s="20" t="n"/>
      <c r="N8" s="20" t="n"/>
      <c r="O8" s="21" t="n"/>
      <c r="P8" s="20" t="n"/>
      <c r="Q8" s="20" t="n"/>
      <c r="R8" s="20" t="inlineStr">
        <is>
          <t>Überspannung</t>
        </is>
      </c>
      <c r="S8" s="18">
        <f>IF(OR(C8="",D8=""),"",C8&amp;"-"&amp;D8)</f>
        <v/>
      </c>
    </row>
    <row r="9" ht="16" customHeight="1">
      <c r="A9" s="19">
        <f>IF(B9="","",ROW()-6)</f>
        <v/>
      </c>
      <c r="B9" s="20" t="inlineStr">
        <is>
          <t>F1</t>
        </is>
      </c>
      <c r="C9" s="21" t="n">
        <v>1</v>
      </c>
      <c r="D9" s="21" t="n">
        <v>8</v>
      </c>
      <c r="E9" s="21" t="n">
        <v>4</v>
      </c>
      <c r="F9" s="20" t="inlineStr">
        <is>
          <t>FI/RCD</t>
        </is>
      </c>
      <c r="G9" s="21" t="n"/>
      <c r="H9" s="21" t="n">
        <v>40</v>
      </c>
      <c r="I9" s="21" t="inlineStr">
        <is>
          <t>4</t>
        </is>
      </c>
      <c r="J9" s="20" t="n"/>
      <c r="K9" s="21" t="n">
        <v>30</v>
      </c>
      <c r="L9" s="21" t="inlineStr">
        <is>
          <t>A</t>
        </is>
      </c>
      <c r="M9" s="20" t="n"/>
      <c r="N9" s="20" t="n"/>
      <c r="O9" s="21" t="n"/>
      <c r="P9" s="20" t="n"/>
      <c r="Q9" s="20" t="n"/>
      <c r="R9" s="20" t="inlineStr">
        <is>
          <t>FI 40A 30mA</t>
        </is>
      </c>
      <c r="S9" s="18">
        <f>IF(OR(C9="",D9=""),"",C9&amp;"-"&amp;D9)</f>
        <v/>
      </c>
    </row>
    <row r="10" ht="16" customHeight="1">
      <c r="A10" s="19">
        <f>IF(B10="","",ROW()-6)</f>
        <v/>
      </c>
      <c r="B10" s="20" t="inlineStr">
        <is>
          <t>F2</t>
        </is>
      </c>
      <c r="C10" s="21" t="n">
        <v>1</v>
      </c>
      <c r="D10" s="21" t="n">
        <v>12</v>
      </c>
      <c r="E10" s="21" t="n">
        <v>1</v>
      </c>
      <c r="F10" s="20" t="inlineStr">
        <is>
          <t>LS</t>
        </is>
      </c>
      <c r="G10" s="21" t="inlineStr">
        <is>
          <t>B</t>
        </is>
      </c>
      <c r="H10" s="21" t="n">
        <v>16</v>
      </c>
      <c r="I10" s="21" t="inlineStr">
        <is>
          <t>1</t>
        </is>
      </c>
      <c r="J10" s="20" t="inlineStr">
        <is>
          <t>F1</t>
        </is>
      </c>
      <c r="K10" s="21" t="n"/>
      <c r="L10" s="21" t="n"/>
      <c r="M10" s="20" t="inlineStr">
        <is>
          <t>NYM-J</t>
        </is>
      </c>
      <c r="N10" s="20" t="inlineStr">
        <is>
          <t>3×2,5</t>
        </is>
      </c>
      <c r="O10" s="21" t="n">
        <v>12</v>
      </c>
      <c r="P10" s="20" t="inlineStr">
        <is>
          <t>Küche</t>
        </is>
      </c>
      <c r="Q10" s="20" t="inlineStr">
        <is>
          <t>Steckdosen Arbeitsplatte links</t>
        </is>
      </c>
      <c r="R10" s="20" t="inlineStr">
        <is>
          <t>Küche SD AP li</t>
        </is>
      </c>
      <c r="S10" s="18">
        <f>IF(OR(C10="",D10=""),"",C10&amp;"-"&amp;D10)</f>
        <v/>
      </c>
    </row>
    <row r="11" ht="16" customHeight="1">
      <c r="A11" s="19">
        <f>IF(B11="","",ROW()-6)</f>
        <v/>
      </c>
      <c r="B11" s="20" t="inlineStr">
        <is>
          <t>F3</t>
        </is>
      </c>
      <c r="C11" s="21" t="n">
        <v>2</v>
      </c>
      <c r="D11" s="21" t="n">
        <v>1</v>
      </c>
      <c r="E11" s="21" t="n">
        <v>1</v>
      </c>
      <c r="F11" s="20" t="inlineStr">
        <is>
          <t>LS</t>
        </is>
      </c>
      <c r="G11" s="21" t="inlineStr">
        <is>
          <t>B</t>
        </is>
      </c>
      <c r="H11" s="21" t="n">
        <v>16</v>
      </c>
      <c r="I11" s="21" t="inlineStr">
        <is>
          <t>1</t>
        </is>
      </c>
      <c r="J11" s="20" t="inlineStr">
        <is>
          <t>F1</t>
        </is>
      </c>
      <c r="K11" s="21" t="n"/>
      <c r="L11" s="21" t="n"/>
      <c r="M11" s="20" t="inlineStr">
        <is>
          <t>NYM-J</t>
        </is>
      </c>
      <c r="N11" s="20" t="inlineStr">
        <is>
          <t>3×2,5</t>
        </is>
      </c>
      <c r="O11" s="21" t="n">
        <v>14</v>
      </c>
      <c r="P11" s="20" t="inlineStr">
        <is>
          <t>Küche</t>
        </is>
      </c>
      <c r="Q11" s="20" t="inlineStr">
        <is>
          <t>Steckdosen Arbeitsplatte rechts</t>
        </is>
      </c>
      <c r="R11" s="20" t="inlineStr">
        <is>
          <t>Küche SD AP re</t>
        </is>
      </c>
      <c r="S11" s="18">
        <f>IF(OR(C11="",D11=""),"",C11&amp;"-"&amp;D11)</f>
        <v/>
      </c>
    </row>
    <row r="12" ht="16" customHeight="1">
      <c r="A12" s="19">
        <f>IF(B12="","",ROW()-6)</f>
        <v/>
      </c>
      <c r="B12" s="20" t="inlineStr">
        <is>
          <t>F4</t>
        </is>
      </c>
      <c r="C12" s="21" t="n">
        <v>2</v>
      </c>
      <c r="D12" s="21" t="n">
        <v>2</v>
      </c>
      <c r="E12" s="21" t="n">
        <v>1</v>
      </c>
      <c r="F12" s="20" t="inlineStr">
        <is>
          <t>LS</t>
        </is>
      </c>
      <c r="G12" s="21" t="inlineStr">
        <is>
          <t>B</t>
        </is>
      </c>
      <c r="H12" s="21" t="n">
        <v>16</v>
      </c>
      <c r="I12" s="21" t="inlineStr">
        <is>
          <t>1</t>
        </is>
      </c>
      <c r="J12" s="20" t="inlineStr">
        <is>
          <t>F1</t>
        </is>
      </c>
      <c r="K12" s="21" t="n"/>
      <c r="L12" s="21" t="n"/>
      <c r="M12" s="20" t="inlineStr">
        <is>
          <t>NYM-J</t>
        </is>
      </c>
      <c r="N12" s="20" t="inlineStr">
        <is>
          <t>3×2,5</t>
        </is>
      </c>
      <c r="O12" s="21" t="n">
        <v>11</v>
      </c>
      <c r="P12" s="20" t="inlineStr">
        <is>
          <t>Küche</t>
        </is>
      </c>
      <c r="Q12" s="20" t="inlineStr">
        <is>
          <t>Geschirrspüler</t>
        </is>
      </c>
      <c r="R12" s="20" t="inlineStr">
        <is>
          <t>Küche GS</t>
        </is>
      </c>
      <c r="S12" s="18">
        <f>IF(OR(C12="",D12=""),"",C12&amp;"-"&amp;D12)</f>
        <v/>
      </c>
    </row>
    <row r="13" ht="16" customHeight="1">
      <c r="A13" s="19">
        <f>IF(B13="","",ROW()-6)</f>
        <v/>
      </c>
      <c r="B13" s="20" t="inlineStr">
        <is>
          <t>F5</t>
        </is>
      </c>
      <c r="C13" s="21" t="n">
        <v>2</v>
      </c>
      <c r="D13" s="21" t="n">
        <v>3</v>
      </c>
      <c r="E13" s="21" t="n">
        <v>1</v>
      </c>
      <c r="F13" s="20" t="inlineStr">
        <is>
          <t>LS</t>
        </is>
      </c>
      <c r="G13" s="21" t="inlineStr">
        <is>
          <t>B</t>
        </is>
      </c>
      <c r="H13" s="21" t="n">
        <v>16</v>
      </c>
      <c r="I13" s="21" t="inlineStr">
        <is>
          <t>1</t>
        </is>
      </c>
      <c r="J13" s="20" t="inlineStr">
        <is>
          <t>F1</t>
        </is>
      </c>
      <c r="K13" s="21" t="n"/>
      <c r="L13" s="21" t="n"/>
      <c r="M13" s="20" t="inlineStr">
        <is>
          <t>NYM-J</t>
        </is>
      </c>
      <c r="N13" s="20" t="inlineStr">
        <is>
          <t>3×1,5</t>
        </is>
      </c>
      <c r="O13" s="21" t="n">
        <v>10</v>
      </c>
      <c r="P13" s="20" t="inlineStr">
        <is>
          <t>Küche</t>
        </is>
      </c>
      <c r="Q13" s="20" t="inlineStr">
        <is>
          <t>Kühlschrank, Dunstabzug</t>
        </is>
      </c>
      <c r="R13" s="20" t="inlineStr">
        <is>
          <t>Küche KS, Duns</t>
        </is>
      </c>
      <c r="S13" s="18">
        <f>IF(OR(C13="",D13=""),"",C13&amp;"-"&amp;D13)</f>
        <v/>
      </c>
    </row>
    <row r="14" ht="16" customHeight="1">
      <c r="A14" s="19">
        <f>IF(B14="","",ROW()-6)</f>
        <v/>
      </c>
      <c r="B14" s="20" t="inlineStr">
        <is>
          <t>F6</t>
        </is>
      </c>
      <c r="C14" s="21" t="n">
        <v>2</v>
      </c>
      <c r="D14" s="21" t="n">
        <v>4</v>
      </c>
      <c r="E14" s="21" t="n">
        <v>4</v>
      </c>
      <c r="F14" s="20" t="inlineStr">
        <is>
          <t>FI/RCD</t>
        </is>
      </c>
      <c r="G14" s="21" t="n"/>
      <c r="H14" s="21" t="n">
        <v>40</v>
      </c>
      <c r="I14" s="21" t="inlineStr">
        <is>
          <t>4</t>
        </is>
      </c>
      <c r="J14" s="20" t="n"/>
      <c r="K14" s="21" t="n">
        <v>30</v>
      </c>
      <c r="L14" s="21" t="inlineStr">
        <is>
          <t>A</t>
        </is>
      </c>
      <c r="M14" s="20" t="n"/>
      <c r="N14" s="20" t="n"/>
      <c r="O14" s="21" t="n"/>
      <c r="P14" s="20" t="n"/>
      <c r="Q14" s="20" t="n"/>
      <c r="R14" s="20" t="inlineStr">
        <is>
          <t>FI 40A 30mA</t>
        </is>
      </c>
      <c r="S14" s="18">
        <f>IF(OR(C14="",D14=""),"",C14&amp;"-"&amp;D14)</f>
        <v/>
      </c>
    </row>
    <row r="15" ht="16" customHeight="1">
      <c r="A15" s="19">
        <f>IF(B15="","",ROW()-6)</f>
        <v/>
      </c>
      <c r="B15" s="20" t="inlineStr">
        <is>
          <t>F7</t>
        </is>
      </c>
      <c r="C15" s="21" t="n">
        <v>2</v>
      </c>
      <c r="D15" s="21" t="n">
        <v>8</v>
      </c>
      <c r="E15" s="21" t="n">
        <v>1</v>
      </c>
      <c r="F15" s="20" t="inlineStr">
        <is>
          <t>LS</t>
        </is>
      </c>
      <c r="G15" s="21" t="inlineStr">
        <is>
          <t>B</t>
        </is>
      </c>
      <c r="H15" s="21" t="n">
        <v>10</v>
      </c>
      <c r="I15" s="21" t="inlineStr">
        <is>
          <t>1</t>
        </is>
      </c>
      <c r="J15" s="20" t="inlineStr">
        <is>
          <t>F6</t>
        </is>
      </c>
      <c r="K15" s="21" t="n"/>
      <c r="L15" s="21" t="n"/>
      <c r="M15" s="20" t="inlineStr">
        <is>
          <t>NYM-J</t>
        </is>
      </c>
      <c r="N15" s="20" t="inlineStr">
        <is>
          <t>3×1,5</t>
        </is>
      </c>
      <c r="O15" s="21" t="n">
        <v>22</v>
      </c>
      <c r="P15" s="20" t="inlineStr">
        <is>
          <t>Flur</t>
        </is>
      </c>
      <c r="Q15" s="20" t="inlineStr">
        <is>
          <t>Licht Flur</t>
        </is>
      </c>
      <c r="R15" s="20" t="inlineStr">
        <is>
          <t>Li Flur</t>
        </is>
      </c>
      <c r="S15" s="18">
        <f>IF(OR(C15="",D15=""),"",C15&amp;"-"&amp;D15)</f>
        <v/>
      </c>
    </row>
    <row r="16" ht="16" customHeight="1">
      <c r="A16" s="19">
        <f>IF(B16="","",ROW()-6)</f>
        <v/>
      </c>
      <c r="B16" s="20" t="inlineStr">
        <is>
          <t>F8</t>
        </is>
      </c>
      <c r="C16" s="21" t="n">
        <v>2</v>
      </c>
      <c r="D16" s="21" t="n">
        <v>9</v>
      </c>
      <c r="E16" s="21" t="n">
        <v>1</v>
      </c>
      <c r="F16" s="20" t="inlineStr">
        <is>
          <t>LS</t>
        </is>
      </c>
      <c r="G16" s="21" t="inlineStr">
        <is>
          <t>B</t>
        </is>
      </c>
      <c r="H16" s="21" t="n">
        <v>16</v>
      </c>
      <c r="I16" s="21" t="inlineStr">
        <is>
          <t>1</t>
        </is>
      </c>
      <c r="J16" s="20" t="inlineStr">
        <is>
          <t>F6</t>
        </is>
      </c>
      <c r="K16" s="21" t="n"/>
      <c r="L16" s="21" t="n"/>
      <c r="M16" s="20" t="inlineStr">
        <is>
          <t>NYM-J</t>
        </is>
      </c>
      <c r="N16" s="20" t="inlineStr">
        <is>
          <t>3×1,5</t>
        </is>
      </c>
      <c r="O16" s="21" t="n">
        <v>18</v>
      </c>
      <c r="P16" s="20" t="inlineStr">
        <is>
          <t>Wohnzimmer</t>
        </is>
      </c>
      <c r="Q16" s="20" t="inlineStr">
        <is>
          <t>Steckdosen und Licht</t>
        </is>
      </c>
      <c r="R16" s="20" t="inlineStr">
        <is>
          <t>Wohnzi. SD und</t>
        </is>
      </c>
      <c r="S16" s="18">
        <f>IF(OR(C16="",D16=""),"",C16&amp;"-"&amp;D16)</f>
        <v/>
      </c>
    </row>
    <row r="17" ht="16" customHeight="1">
      <c r="A17" s="19">
        <f>IF(B17="","",ROW()-6)</f>
        <v/>
      </c>
      <c r="B17" s="20" t="inlineStr">
        <is>
          <t>F9</t>
        </is>
      </c>
      <c r="C17" s="21" t="n">
        <v>2</v>
      </c>
      <c r="D17" s="21" t="n">
        <v>10</v>
      </c>
      <c r="E17" s="21" t="n">
        <v>1</v>
      </c>
      <c r="F17" s="20" t="inlineStr">
        <is>
          <t>LS</t>
        </is>
      </c>
      <c r="G17" s="21" t="inlineStr">
        <is>
          <t>B</t>
        </is>
      </c>
      <c r="H17" s="21" t="n">
        <v>16</v>
      </c>
      <c r="I17" s="21" t="inlineStr">
        <is>
          <t>1</t>
        </is>
      </c>
      <c r="J17" s="20" t="inlineStr">
        <is>
          <t>F6</t>
        </is>
      </c>
      <c r="K17" s="21" t="n"/>
      <c r="L17" s="21" t="n"/>
      <c r="M17" s="20" t="inlineStr">
        <is>
          <t>NYM-J</t>
        </is>
      </c>
      <c r="N17" s="20" t="inlineStr">
        <is>
          <t>3×1,5</t>
        </is>
      </c>
      <c r="O17" s="21" t="n">
        <v>20</v>
      </c>
      <c r="P17" s="20" t="inlineStr">
        <is>
          <t>Schlafzimmer</t>
        </is>
      </c>
      <c r="Q17" s="20" t="inlineStr">
        <is>
          <t>Steckdosen und Licht</t>
        </is>
      </c>
      <c r="R17" s="20" t="inlineStr">
        <is>
          <t>Schlafzi. SD u</t>
        </is>
      </c>
      <c r="S17" s="18">
        <f>IF(OR(C17="",D17=""),"",C17&amp;"-"&amp;D17)</f>
        <v/>
      </c>
    </row>
    <row r="18" ht="16" customHeight="1">
      <c r="A18" s="19">
        <f>IF(B18="","",ROW()-6)</f>
        <v/>
      </c>
      <c r="B18" s="20" t="inlineStr">
        <is>
          <t>F10</t>
        </is>
      </c>
      <c r="C18" s="21" t="n">
        <v>2</v>
      </c>
      <c r="D18" s="21" t="n">
        <v>11</v>
      </c>
      <c r="E18" s="21" t="n">
        <v>1</v>
      </c>
      <c r="F18" s="20" t="inlineStr">
        <is>
          <t>LS</t>
        </is>
      </c>
      <c r="G18" s="21" t="inlineStr">
        <is>
          <t>B</t>
        </is>
      </c>
      <c r="H18" s="21" t="n">
        <v>16</v>
      </c>
      <c r="I18" s="21" t="inlineStr">
        <is>
          <t>1</t>
        </is>
      </c>
      <c r="J18" s="20" t="inlineStr">
        <is>
          <t>F6</t>
        </is>
      </c>
      <c r="K18" s="21" t="n"/>
      <c r="L18" s="21" t="n"/>
      <c r="M18" s="20" t="inlineStr">
        <is>
          <t>NYM-J</t>
        </is>
      </c>
      <c r="N18" s="20" t="inlineStr">
        <is>
          <t>3×2,5</t>
        </is>
      </c>
      <c r="O18" s="21" t="n">
        <v>9</v>
      </c>
      <c r="P18" s="20" t="inlineStr">
        <is>
          <t>Bad</t>
        </is>
      </c>
      <c r="Q18" s="20" t="inlineStr">
        <is>
          <t>Steckdosen Bad, Spiegelschrank</t>
        </is>
      </c>
      <c r="R18" s="20" t="inlineStr">
        <is>
          <t>SD Bad, Spiege</t>
        </is>
      </c>
      <c r="S18" s="18">
        <f>IF(OR(C18="",D18=""),"",C18&amp;"-"&amp;D18)</f>
        <v/>
      </c>
    </row>
    <row r="19" ht="16" customHeight="1">
      <c r="A19" s="19">
        <f>IF(B19="","",ROW()-6)</f>
        <v/>
      </c>
      <c r="B19" s="20" t="inlineStr">
        <is>
          <t>F11</t>
        </is>
      </c>
      <c r="C19" s="21" t="n">
        <v>3</v>
      </c>
      <c r="D19" s="21" t="n">
        <v>1</v>
      </c>
      <c r="E19" s="21" t="n">
        <v>3</v>
      </c>
      <c r="F19" s="20" t="inlineStr">
        <is>
          <t>LS</t>
        </is>
      </c>
      <c r="G19" s="21" t="inlineStr">
        <is>
          <t>B</t>
        </is>
      </c>
      <c r="H19" s="21" t="n">
        <v>16</v>
      </c>
      <c r="I19" s="21" t="inlineStr">
        <is>
          <t>3</t>
        </is>
      </c>
      <c r="J19" s="20" t="inlineStr">
        <is>
          <t>F6</t>
        </is>
      </c>
      <c r="K19" s="21" t="n"/>
      <c r="L19" s="21" t="n"/>
      <c r="M19" s="20" t="inlineStr">
        <is>
          <t>NYM-J</t>
        </is>
      </c>
      <c r="N19" s="20" t="inlineStr">
        <is>
          <t>5×2,5</t>
        </is>
      </c>
      <c r="O19" s="21" t="n">
        <v>12</v>
      </c>
      <c r="P19" s="20" t="inlineStr">
        <is>
          <t>Küche</t>
        </is>
      </c>
      <c r="Q19" s="20" t="inlineStr">
        <is>
          <t>Herd / Kochfeld</t>
        </is>
      </c>
      <c r="R19" s="20" t="inlineStr">
        <is>
          <t>Küche Herd</t>
        </is>
      </c>
      <c r="S19" s="18">
        <f>IF(OR(C19="",D19=""),"",C19&amp;"-"&amp;D19)</f>
        <v/>
      </c>
    </row>
    <row r="20" ht="16" customHeight="1">
      <c r="A20" s="19">
        <f>IF(B20="","",ROW()-6)</f>
        <v/>
      </c>
      <c r="B20" s="20" t="inlineStr">
        <is>
          <t>F12</t>
        </is>
      </c>
      <c r="C20" s="21" t="n">
        <v>3</v>
      </c>
      <c r="D20" s="21" t="n">
        <v>4</v>
      </c>
      <c r="E20" s="21" t="n">
        <v>2</v>
      </c>
      <c r="F20" s="20" t="inlineStr">
        <is>
          <t>FI/LS (RCBO)</t>
        </is>
      </c>
      <c r="G20" s="21" t="inlineStr">
        <is>
          <t>B</t>
        </is>
      </c>
      <c r="H20" s="21" t="n">
        <v>16</v>
      </c>
      <c r="I20" s="21" t="inlineStr">
        <is>
          <t>2</t>
        </is>
      </c>
      <c r="J20" s="20" t="n"/>
      <c r="K20" s="21" t="n">
        <v>30</v>
      </c>
      <c r="L20" s="21" t="inlineStr">
        <is>
          <t>A</t>
        </is>
      </c>
      <c r="M20" s="20" t="inlineStr">
        <is>
          <t>NYM-J</t>
        </is>
      </c>
      <c r="N20" s="20" t="inlineStr">
        <is>
          <t>3×2,5</t>
        </is>
      </c>
      <c r="O20" s="21" t="n">
        <v>8</v>
      </c>
      <c r="P20" s="20" t="inlineStr">
        <is>
          <t>Bad</t>
        </is>
      </c>
      <c r="Q20" s="20" t="inlineStr">
        <is>
          <t>Waschmaschine</t>
        </is>
      </c>
      <c r="R20" s="20" t="inlineStr">
        <is>
          <t>Bad WM</t>
        </is>
      </c>
      <c r="S20" s="18">
        <f>IF(OR(C20="",D20=""),"",C20&amp;"-"&amp;D20)</f>
        <v/>
      </c>
    </row>
    <row r="21" ht="16" customHeight="1">
      <c r="A21" s="19">
        <f>IF(B21="","",ROW()-6)</f>
        <v/>
      </c>
      <c r="B21" s="20" t="inlineStr">
        <is>
          <t>F13</t>
        </is>
      </c>
      <c r="C21" s="21" t="n">
        <v>3</v>
      </c>
      <c r="D21" s="21" t="n">
        <v>6</v>
      </c>
      <c r="E21" s="21" t="n">
        <v>2</v>
      </c>
      <c r="F21" s="20" t="inlineStr">
        <is>
          <t>FI/LS (RCBO)</t>
        </is>
      </c>
      <c r="G21" s="21" t="inlineStr">
        <is>
          <t>B</t>
        </is>
      </c>
      <c r="H21" s="21" t="n">
        <v>16</v>
      </c>
      <c r="I21" s="21" t="inlineStr">
        <is>
          <t>2</t>
        </is>
      </c>
      <c r="J21" s="20" t="n"/>
      <c r="K21" s="21" t="n">
        <v>30</v>
      </c>
      <c r="L21" s="21" t="inlineStr">
        <is>
          <t>A</t>
        </is>
      </c>
      <c r="M21" s="20" t="inlineStr">
        <is>
          <t>NYM-J</t>
        </is>
      </c>
      <c r="N21" s="20" t="inlineStr">
        <is>
          <t>3×2,5</t>
        </is>
      </c>
      <c r="O21" s="21" t="n">
        <v>15</v>
      </c>
      <c r="P21" s="20" t="inlineStr">
        <is>
          <t>Balkon</t>
        </is>
      </c>
      <c r="Q21" s="20" t="inlineStr">
        <is>
          <t>Außensteckdose IP44</t>
        </is>
      </c>
      <c r="R21" s="20" t="inlineStr">
        <is>
          <t>Balkon Außen S</t>
        </is>
      </c>
      <c r="S21" s="18">
        <f>IF(OR(C21="",D21=""),"",C21&amp;"-"&amp;D21)</f>
        <v/>
      </c>
    </row>
    <row r="22" ht="16" customHeight="1">
      <c r="A22" s="19">
        <f>IF(B22="","",ROW()-6)</f>
        <v/>
      </c>
      <c r="B22" s="20" t="inlineStr">
        <is>
          <t>F14</t>
        </is>
      </c>
      <c r="C22" s="21" t="n">
        <v>3</v>
      </c>
      <c r="D22" s="21" t="n">
        <v>8</v>
      </c>
      <c r="E22" s="21" t="n">
        <v>3</v>
      </c>
      <c r="F22" s="20" t="inlineStr">
        <is>
          <t>LS</t>
        </is>
      </c>
      <c r="G22" s="21" t="inlineStr">
        <is>
          <t>B</t>
        </is>
      </c>
      <c r="H22" s="21" t="n">
        <v>32</v>
      </c>
      <c r="I22" s="21" t="inlineStr">
        <is>
          <t>3</t>
        </is>
      </c>
      <c r="J22" s="20" t="n"/>
      <c r="K22" s="21" t="n"/>
      <c r="L22" s="21" t="n"/>
      <c r="M22" s="20" t="inlineStr">
        <is>
          <t>NYM-J</t>
        </is>
      </c>
      <c r="N22" s="20" t="inlineStr">
        <is>
          <t>5×6</t>
        </is>
      </c>
      <c r="O22" s="21" t="n">
        <v>9</v>
      </c>
      <c r="P22" s="20" t="inlineStr">
        <is>
          <t>Bad</t>
        </is>
      </c>
      <c r="Q22" s="20" t="inlineStr">
        <is>
          <t>Durchlauferhitzer 21 kW</t>
        </is>
      </c>
      <c r="R22" s="20" t="inlineStr">
        <is>
          <t>Bad DLE 21 kW</t>
        </is>
      </c>
      <c r="S22" s="18">
        <f>IF(OR(C22="",D22=""),"",C22&amp;"-"&amp;D22)</f>
        <v/>
      </c>
    </row>
    <row r="23" ht="16" customHeight="1">
      <c r="A23" s="19">
        <f>IF(B23="","",ROW()-6)</f>
        <v/>
      </c>
      <c r="B23" s="20" t="n"/>
      <c r="C23" s="21" t="n"/>
      <c r="D23" s="21" t="n"/>
      <c r="E23" s="21" t="n"/>
      <c r="F23" s="20" t="n"/>
      <c r="G23" s="21" t="n"/>
      <c r="H23" s="21" t="n"/>
      <c r="I23" s="21" t="n"/>
      <c r="J23" s="20" t="n"/>
      <c r="K23" s="21" t="n"/>
      <c r="L23" s="21" t="n"/>
      <c r="M23" s="20" t="n"/>
      <c r="N23" s="20" t="n"/>
      <c r="O23" s="21" t="n"/>
      <c r="P23" s="20" t="n"/>
      <c r="Q23" s="20" t="n"/>
      <c r="R23" s="20" t="n"/>
      <c r="S23" s="18">
        <f>IF(OR(C23="",D23=""),"",C23&amp;"-"&amp;D23)</f>
        <v/>
      </c>
    </row>
    <row r="24" ht="16" customHeight="1">
      <c r="A24" s="19">
        <f>IF(B24="","",ROW()-6)</f>
        <v/>
      </c>
      <c r="B24" s="20" t="n"/>
      <c r="C24" s="21" t="n"/>
      <c r="D24" s="21" t="n"/>
      <c r="E24" s="21" t="n"/>
      <c r="F24" s="20" t="n"/>
      <c r="G24" s="21" t="n"/>
      <c r="H24" s="21" t="n"/>
      <c r="I24" s="21" t="n"/>
      <c r="J24" s="20" t="n"/>
      <c r="K24" s="21" t="n"/>
      <c r="L24" s="21" t="n"/>
      <c r="M24" s="20" t="n"/>
      <c r="N24" s="20" t="n"/>
      <c r="O24" s="21" t="n"/>
      <c r="P24" s="20" t="n"/>
      <c r="Q24" s="20" t="n"/>
      <c r="R24" s="20" t="n"/>
      <c r="S24" s="18">
        <f>IF(OR(C24="",D24=""),"",C24&amp;"-"&amp;D24)</f>
        <v/>
      </c>
    </row>
    <row r="25" ht="16" customHeight="1">
      <c r="A25" s="19">
        <f>IF(B25="","",ROW()-6)</f>
        <v/>
      </c>
      <c r="B25" s="20" t="n"/>
      <c r="C25" s="21" t="n"/>
      <c r="D25" s="21" t="n"/>
      <c r="E25" s="21" t="n"/>
      <c r="F25" s="20" t="n"/>
      <c r="G25" s="21" t="n"/>
      <c r="H25" s="21" t="n"/>
      <c r="I25" s="21" t="n"/>
      <c r="J25" s="20" t="n"/>
      <c r="K25" s="21" t="n"/>
      <c r="L25" s="21" t="n"/>
      <c r="M25" s="20" t="n"/>
      <c r="N25" s="20" t="n"/>
      <c r="O25" s="21" t="n"/>
      <c r="P25" s="20" t="n"/>
      <c r="Q25" s="20" t="n"/>
      <c r="R25" s="20" t="n"/>
      <c r="S25" s="18">
        <f>IF(OR(C25="",D25=""),"",C25&amp;"-"&amp;D25)</f>
        <v/>
      </c>
    </row>
    <row r="26" ht="16" customHeight="1">
      <c r="A26" s="19">
        <f>IF(B26="","",ROW()-6)</f>
        <v/>
      </c>
      <c r="B26" s="20" t="n"/>
      <c r="C26" s="21" t="n"/>
      <c r="D26" s="21" t="n"/>
      <c r="E26" s="21" t="n"/>
      <c r="F26" s="20" t="n"/>
      <c r="G26" s="21" t="n"/>
      <c r="H26" s="21" t="n"/>
      <c r="I26" s="21" t="n"/>
      <c r="J26" s="20" t="n"/>
      <c r="K26" s="21" t="n"/>
      <c r="L26" s="21" t="n"/>
      <c r="M26" s="20" t="n"/>
      <c r="N26" s="20" t="n"/>
      <c r="O26" s="21" t="n"/>
      <c r="P26" s="20" t="n"/>
      <c r="Q26" s="20" t="n"/>
      <c r="R26" s="20" t="n"/>
      <c r="S26" s="18">
        <f>IF(OR(C26="",D26=""),"",C26&amp;"-"&amp;D26)</f>
        <v/>
      </c>
    </row>
    <row r="27" ht="16" customHeight="1">
      <c r="A27" s="19">
        <f>IF(B27="","",ROW()-6)</f>
        <v/>
      </c>
      <c r="B27" s="20" t="n"/>
      <c r="C27" s="21" t="n"/>
      <c r="D27" s="21" t="n"/>
      <c r="E27" s="21" t="n"/>
      <c r="F27" s="20" t="n"/>
      <c r="G27" s="21" t="n"/>
      <c r="H27" s="21" t="n"/>
      <c r="I27" s="21" t="n"/>
      <c r="J27" s="20" t="n"/>
      <c r="K27" s="21" t="n"/>
      <c r="L27" s="21" t="n"/>
      <c r="M27" s="20" t="n"/>
      <c r="N27" s="20" t="n"/>
      <c r="O27" s="21" t="n"/>
      <c r="P27" s="20" t="n"/>
      <c r="Q27" s="20" t="n"/>
      <c r="R27" s="20" t="n"/>
      <c r="S27" s="18">
        <f>IF(OR(C27="",D27=""),"",C27&amp;"-"&amp;D27)</f>
        <v/>
      </c>
    </row>
    <row r="28" ht="16" customHeight="1">
      <c r="A28" s="19">
        <f>IF(B28="","",ROW()-6)</f>
        <v/>
      </c>
      <c r="B28" s="20" t="n"/>
      <c r="C28" s="21" t="n"/>
      <c r="D28" s="21" t="n"/>
      <c r="E28" s="21" t="n"/>
      <c r="F28" s="20" t="n"/>
      <c r="G28" s="21" t="n"/>
      <c r="H28" s="21" t="n"/>
      <c r="I28" s="21" t="n"/>
      <c r="J28" s="20" t="n"/>
      <c r="K28" s="21" t="n"/>
      <c r="L28" s="21" t="n"/>
      <c r="M28" s="20" t="n"/>
      <c r="N28" s="20" t="n"/>
      <c r="O28" s="21" t="n"/>
      <c r="P28" s="20" t="n"/>
      <c r="Q28" s="20" t="n"/>
      <c r="R28" s="20" t="n"/>
      <c r="S28" s="18">
        <f>IF(OR(C28="",D28=""),"",C28&amp;"-"&amp;D28)</f>
        <v/>
      </c>
    </row>
    <row r="29" ht="16" customHeight="1">
      <c r="A29" s="19">
        <f>IF(B29="","",ROW()-6)</f>
        <v/>
      </c>
      <c r="B29" s="20" t="n"/>
      <c r="C29" s="21" t="n"/>
      <c r="D29" s="21" t="n"/>
      <c r="E29" s="21" t="n"/>
      <c r="F29" s="20" t="n"/>
      <c r="G29" s="21" t="n"/>
      <c r="H29" s="21" t="n"/>
      <c r="I29" s="21" t="n"/>
      <c r="J29" s="20" t="n"/>
      <c r="K29" s="21" t="n"/>
      <c r="L29" s="21" t="n"/>
      <c r="M29" s="20" t="n"/>
      <c r="N29" s="20" t="n"/>
      <c r="O29" s="21" t="n"/>
      <c r="P29" s="20" t="n"/>
      <c r="Q29" s="20" t="n"/>
      <c r="R29" s="20" t="n"/>
      <c r="S29" s="18">
        <f>IF(OR(C29="",D29=""),"",C29&amp;"-"&amp;D29)</f>
        <v/>
      </c>
    </row>
    <row r="30" ht="16" customHeight="1">
      <c r="A30" s="19">
        <f>IF(B30="","",ROW()-6)</f>
        <v/>
      </c>
      <c r="B30" s="20" t="n"/>
      <c r="C30" s="21" t="n"/>
      <c r="D30" s="21" t="n"/>
      <c r="E30" s="21" t="n"/>
      <c r="F30" s="20" t="n"/>
      <c r="G30" s="21" t="n"/>
      <c r="H30" s="21" t="n"/>
      <c r="I30" s="21" t="n"/>
      <c r="J30" s="20" t="n"/>
      <c r="K30" s="21" t="n"/>
      <c r="L30" s="21" t="n"/>
      <c r="M30" s="20" t="n"/>
      <c r="N30" s="20" t="n"/>
      <c r="O30" s="21" t="n"/>
      <c r="P30" s="20" t="n"/>
      <c r="Q30" s="20" t="n"/>
      <c r="R30" s="20" t="n"/>
      <c r="S30" s="18">
        <f>IF(OR(C30="",D30=""),"",C30&amp;"-"&amp;D30)</f>
        <v/>
      </c>
    </row>
    <row r="31" ht="16" customHeight="1">
      <c r="A31" s="19">
        <f>IF(B31="","",ROW()-6)</f>
        <v/>
      </c>
      <c r="B31" s="20" t="n"/>
      <c r="C31" s="21" t="n"/>
      <c r="D31" s="21" t="n"/>
      <c r="E31" s="21" t="n"/>
      <c r="F31" s="20" t="n"/>
      <c r="G31" s="21" t="n"/>
      <c r="H31" s="21" t="n"/>
      <c r="I31" s="21" t="n"/>
      <c r="J31" s="20" t="n"/>
      <c r="K31" s="21" t="n"/>
      <c r="L31" s="21" t="n"/>
      <c r="M31" s="20" t="n"/>
      <c r="N31" s="20" t="n"/>
      <c r="O31" s="21" t="n"/>
      <c r="P31" s="20" t="n"/>
      <c r="Q31" s="20" t="n"/>
      <c r="R31" s="20" t="n"/>
      <c r="S31" s="18">
        <f>IF(OR(C31="",D31=""),"",C31&amp;"-"&amp;D31)</f>
        <v/>
      </c>
    </row>
    <row r="32" ht="16" customHeight="1">
      <c r="A32" s="19">
        <f>IF(B32="","",ROW()-6)</f>
        <v/>
      </c>
      <c r="B32" s="20" t="n"/>
      <c r="C32" s="21" t="n"/>
      <c r="D32" s="21" t="n"/>
      <c r="E32" s="21" t="n"/>
      <c r="F32" s="20" t="n"/>
      <c r="G32" s="21" t="n"/>
      <c r="H32" s="21" t="n"/>
      <c r="I32" s="21" t="n"/>
      <c r="J32" s="20" t="n"/>
      <c r="K32" s="21" t="n"/>
      <c r="L32" s="21" t="n"/>
      <c r="M32" s="20" t="n"/>
      <c r="N32" s="20" t="n"/>
      <c r="O32" s="21" t="n"/>
      <c r="P32" s="20" t="n"/>
      <c r="Q32" s="20" t="n"/>
      <c r="R32" s="20" t="n"/>
      <c r="S32" s="18">
        <f>IF(OR(C32="",D32=""),"",C32&amp;"-"&amp;D32)</f>
        <v/>
      </c>
    </row>
    <row r="33" ht="16" customHeight="1">
      <c r="A33" s="19">
        <f>IF(B33="","",ROW()-6)</f>
        <v/>
      </c>
      <c r="B33" s="20" t="n"/>
      <c r="C33" s="21" t="n"/>
      <c r="D33" s="21" t="n"/>
      <c r="E33" s="21" t="n"/>
      <c r="F33" s="20" t="n"/>
      <c r="G33" s="21" t="n"/>
      <c r="H33" s="21" t="n"/>
      <c r="I33" s="21" t="n"/>
      <c r="J33" s="20" t="n"/>
      <c r="K33" s="21" t="n"/>
      <c r="L33" s="21" t="n"/>
      <c r="M33" s="20" t="n"/>
      <c r="N33" s="20" t="n"/>
      <c r="O33" s="21" t="n"/>
      <c r="P33" s="20" t="n"/>
      <c r="Q33" s="20" t="n"/>
      <c r="R33" s="20" t="n"/>
      <c r="S33" s="18">
        <f>IF(OR(C33="",D33=""),"",C33&amp;"-"&amp;D33)</f>
        <v/>
      </c>
    </row>
    <row r="34" ht="16" customHeight="1">
      <c r="A34" s="19">
        <f>IF(B34="","",ROW()-6)</f>
        <v/>
      </c>
      <c r="B34" s="20" t="n"/>
      <c r="C34" s="21" t="n"/>
      <c r="D34" s="21" t="n"/>
      <c r="E34" s="21" t="n"/>
      <c r="F34" s="20" t="n"/>
      <c r="G34" s="21" t="n"/>
      <c r="H34" s="21" t="n"/>
      <c r="I34" s="21" t="n"/>
      <c r="J34" s="20" t="n"/>
      <c r="K34" s="21" t="n"/>
      <c r="L34" s="21" t="n"/>
      <c r="M34" s="20" t="n"/>
      <c r="N34" s="20" t="n"/>
      <c r="O34" s="21" t="n"/>
      <c r="P34" s="20" t="n"/>
      <c r="Q34" s="20" t="n"/>
      <c r="R34" s="20" t="n"/>
      <c r="S34" s="18">
        <f>IF(OR(C34="",D34=""),"",C34&amp;"-"&amp;D34)</f>
        <v/>
      </c>
    </row>
    <row r="35" ht="16" customHeight="1">
      <c r="A35" s="19">
        <f>IF(B35="","",ROW()-6)</f>
        <v/>
      </c>
      <c r="B35" s="20" t="n"/>
      <c r="C35" s="21" t="n"/>
      <c r="D35" s="21" t="n"/>
      <c r="E35" s="21" t="n"/>
      <c r="F35" s="20" t="n"/>
      <c r="G35" s="21" t="n"/>
      <c r="H35" s="21" t="n"/>
      <c r="I35" s="21" t="n"/>
      <c r="J35" s="20" t="n"/>
      <c r="K35" s="21" t="n"/>
      <c r="L35" s="21" t="n"/>
      <c r="M35" s="20" t="n"/>
      <c r="N35" s="20" t="n"/>
      <c r="O35" s="21" t="n"/>
      <c r="P35" s="20" t="n"/>
      <c r="Q35" s="20" t="n"/>
      <c r="R35" s="20" t="n"/>
      <c r="S35" s="18">
        <f>IF(OR(C35="",D35=""),"",C35&amp;"-"&amp;D35)</f>
        <v/>
      </c>
    </row>
    <row r="36" ht="16" customHeight="1">
      <c r="A36" s="19">
        <f>IF(B36="","",ROW()-6)</f>
        <v/>
      </c>
      <c r="B36" s="20" t="n"/>
      <c r="C36" s="21" t="n"/>
      <c r="D36" s="21" t="n"/>
      <c r="E36" s="21" t="n"/>
      <c r="F36" s="20" t="n"/>
      <c r="G36" s="21" t="n"/>
      <c r="H36" s="21" t="n"/>
      <c r="I36" s="21" t="n"/>
      <c r="J36" s="20" t="n"/>
      <c r="K36" s="21" t="n"/>
      <c r="L36" s="21" t="n"/>
      <c r="M36" s="20" t="n"/>
      <c r="N36" s="20" t="n"/>
      <c r="O36" s="21" t="n"/>
      <c r="P36" s="20" t="n"/>
      <c r="Q36" s="20" t="n"/>
      <c r="R36" s="20" t="n"/>
      <c r="S36" s="18">
        <f>IF(OR(C36="",D36=""),"",C36&amp;"-"&amp;D36)</f>
        <v/>
      </c>
    </row>
    <row r="37" ht="16" customHeight="1">
      <c r="A37" s="19">
        <f>IF(B37="","",ROW()-6)</f>
        <v/>
      </c>
      <c r="B37" s="20" t="n"/>
      <c r="C37" s="21" t="n"/>
      <c r="D37" s="21" t="n"/>
      <c r="E37" s="21" t="n"/>
      <c r="F37" s="20" t="n"/>
      <c r="G37" s="21" t="n"/>
      <c r="H37" s="21" t="n"/>
      <c r="I37" s="21" t="n"/>
      <c r="J37" s="20" t="n"/>
      <c r="K37" s="21" t="n"/>
      <c r="L37" s="21" t="n"/>
      <c r="M37" s="20" t="n"/>
      <c r="N37" s="20" t="n"/>
      <c r="O37" s="21" t="n"/>
      <c r="P37" s="20" t="n"/>
      <c r="Q37" s="20" t="n"/>
      <c r="R37" s="20" t="n"/>
      <c r="S37" s="18">
        <f>IF(OR(C37="",D37=""),"",C37&amp;"-"&amp;D37)</f>
        <v/>
      </c>
    </row>
    <row r="38" ht="16" customHeight="1">
      <c r="A38" s="19">
        <f>IF(B38="","",ROW()-6)</f>
        <v/>
      </c>
      <c r="B38" s="20" t="n"/>
      <c r="C38" s="21" t="n"/>
      <c r="D38" s="21" t="n"/>
      <c r="E38" s="21" t="n"/>
      <c r="F38" s="20" t="n"/>
      <c r="G38" s="21" t="n"/>
      <c r="H38" s="21" t="n"/>
      <c r="I38" s="21" t="n"/>
      <c r="J38" s="20" t="n"/>
      <c r="K38" s="21" t="n"/>
      <c r="L38" s="21" t="n"/>
      <c r="M38" s="20" t="n"/>
      <c r="N38" s="20" t="n"/>
      <c r="O38" s="21" t="n"/>
      <c r="P38" s="20" t="n"/>
      <c r="Q38" s="20" t="n"/>
      <c r="R38" s="20" t="n"/>
      <c r="S38" s="18">
        <f>IF(OR(C38="",D38=""),"",C38&amp;"-"&amp;D38)</f>
        <v/>
      </c>
    </row>
    <row r="39" ht="16" customHeight="1">
      <c r="A39" s="19">
        <f>IF(B39="","",ROW()-6)</f>
        <v/>
      </c>
      <c r="B39" s="20" t="n"/>
      <c r="C39" s="21" t="n"/>
      <c r="D39" s="21" t="n"/>
      <c r="E39" s="21" t="n"/>
      <c r="F39" s="20" t="n"/>
      <c r="G39" s="21" t="n"/>
      <c r="H39" s="21" t="n"/>
      <c r="I39" s="21" t="n"/>
      <c r="J39" s="20" t="n"/>
      <c r="K39" s="21" t="n"/>
      <c r="L39" s="21" t="n"/>
      <c r="M39" s="20" t="n"/>
      <c r="N39" s="20" t="n"/>
      <c r="O39" s="21" t="n"/>
      <c r="P39" s="20" t="n"/>
      <c r="Q39" s="20" t="n"/>
      <c r="R39" s="20" t="n"/>
      <c r="S39" s="18">
        <f>IF(OR(C39="",D39=""),"",C39&amp;"-"&amp;D39)</f>
        <v/>
      </c>
    </row>
    <row r="40" ht="16" customHeight="1">
      <c r="A40" s="19">
        <f>IF(B40="","",ROW()-6)</f>
        <v/>
      </c>
      <c r="B40" s="20" t="n"/>
      <c r="C40" s="21" t="n"/>
      <c r="D40" s="21" t="n"/>
      <c r="E40" s="21" t="n"/>
      <c r="F40" s="20" t="n"/>
      <c r="G40" s="21" t="n"/>
      <c r="H40" s="21" t="n"/>
      <c r="I40" s="21" t="n"/>
      <c r="J40" s="20" t="n"/>
      <c r="K40" s="21" t="n"/>
      <c r="L40" s="21" t="n"/>
      <c r="M40" s="20" t="n"/>
      <c r="N40" s="20" t="n"/>
      <c r="O40" s="21" t="n"/>
      <c r="P40" s="20" t="n"/>
      <c r="Q40" s="20" t="n"/>
      <c r="R40" s="20" t="n"/>
      <c r="S40" s="18">
        <f>IF(OR(C40="",D40=""),"",C40&amp;"-"&amp;D40)</f>
        <v/>
      </c>
    </row>
    <row r="41" ht="16" customHeight="1">
      <c r="A41" s="19">
        <f>IF(B41="","",ROW()-6)</f>
        <v/>
      </c>
      <c r="B41" s="20" t="n"/>
      <c r="C41" s="21" t="n"/>
      <c r="D41" s="21" t="n"/>
      <c r="E41" s="21" t="n"/>
      <c r="F41" s="20" t="n"/>
      <c r="G41" s="21" t="n"/>
      <c r="H41" s="21" t="n"/>
      <c r="I41" s="21" t="n"/>
      <c r="J41" s="20" t="n"/>
      <c r="K41" s="21" t="n"/>
      <c r="L41" s="21" t="n"/>
      <c r="M41" s="20" t="n"/>
      <c r="N41" s="20" t="n"/>
      <c r="O41" s="21" t="n"/>
      <c r="P41" s="20" t="n"/>
      <c r="Q41" s="20" t="n"/>
      <c r="R41" s="20" t="n"/>
      <c r="S41" s="18">
        <f>IF(OR(C41="",D41=""),"",C41&amp;"-"&amp;D41)</f>
        <v/>
      </c>
    </row>
    <row r="42" ht="16" customHeight="1">
      <c r="A42" s="19">
        <f>IF(B42="","",ROW()-6)</f>
        <v/>
      </c>
      <c r="B42" s="20" t="n"/>
      <c r="C42" s="21" t="n"/>
      <c r="D42" s="21" t="n"/>
      <c r="E42" s="21" t="n"/>
      <c r="F42" s="20" t="n"/>
      <c r="G42" s="21" t="n"/>
      <c r="H42" s="21" t="n"/>
      <c r="I42" s="21" t="n"/>
      <c r="J42" s="20" t="n"/>
      <c r="K42" s="21" t="n"/>
      <c r="L42" s="21" t="n"/>
      <c r="M42" s="20" t="n"/>
      <c r="N42" s="20" t="n"/>
      <c r="O42" s="21" t="n"/>
      <c r="P42" s="20" t="n"/>
      <c r="Q42" s="20" t="n"/>
      <c r="R42" s="20" t="n"/>
      <c r="S42" s="18">
        <f>IF(OR(C42="",D42=""),"",C42&amp;"-"&amp;D42)</f>
        <v/>
      </c>
    </row>
    <row r="43" ht="16" customHeight="1">
      <c r="A43" s="19">
        <f>IF(B43="","",ROW()-6)</f>
        <v/>
      </c>
      <c r="B43" s="20" t="n"/>
      <c r="C43" s="21" t="n"/>
      <c r="D43" s="21" t="n"/>
      <c r="E43" s="21" t="n"/>
      <c r="F43" s="20" t="n"/>
      <c r="G43" s="21" t="n"/>
      <c r="H43" s="21" t="n"/>
      <c r="I43" s="21" t="n"/>
      <c r="J43" s="20" t="n"/>
      <c r="K43" s="21" t="n"/>
      <c r="L43" s="21" t="n"/>
      <c r="M43" s="20" t="n"/>
      <c r="N43" s="20" t="n"/>
      <c r="O43" s="21" t="n"/>
      <c r="P43" s="20" t="n"/>
      <c r="Q43" s="20" t="n"/>
      <c r="R43" s="20" t="n"/>
      <c r="S43" s="18">
        <f>IF(OR(C43="",D43=""),"",C43&amp;"-"&amp;D43)</f>
        <v/>
      </c>
    </row>
    <row r="44" ht="16" customHeight="1">
      <c r="A44" s="19">
        <f>IF(B44="","",ROW()-6)</f>
        <v/>
      </c>
      <c r="B44" s="20" t="n"/>
      <c r="C44" s="21" t="n"/>
      <c r="D44" s="21" t="n"/>
      <c r="E44" s="21" t="n"/>
      <c r="F44" s="20" t="n"/>
      <c r="G44" s="21" t="n"/>
      <c r="H44" s="21" t="n"/>
      <c r="I44" s="21" t="n"/>
      <c r="J44" s="20" t="n"/>
      <c r="K44" s="21" t="n"/>
      <c r="L44" s="21" t="n"/>
      <c r="M44" s="20" t="n"/>
      <c r="N44" s="20" t="n"/>
      <c r="O44" s="21" t="n"/>
      <c r="P44" s="20" t="n"/>
      <c r="Q44" s="20" t="n"/>
      <c r="R44" s="20" t="n"/>
      <c r="S44" s="18">
        <f>IF(OR(C44="",D44=""),"",C44&amp;"-"&amp;D44)</f>
        <v/>
      </c>
    </row>
    <row r="45" ht="16" customHeight="1">
      <c r="A45" s="19">
        <f>IF(B45="","",ROW()-6)</f>
        <v/>
      </c>
      <c r="B45" s="20" t="n"/>
      <c r="C45" s="21" t="n"/>
      <c r="D45" s="21" t="n"/>
      <c r="E45" s="21" t="n"/>
      <c r="F45" s="20" t="n"/>
      <c r="G45" s="21" t="n"/>
      <c r="H45" s="21" t="n"/>
      <c r="I45" s="21" t="n"/>
      <c r="J45" s="20" t="n"/>
      <c r="K45" s="21" t="n"/>
      <c r="L45" s="21" t="n"/>
      <c r="M45" s="20" t="n"/>
      <c r="N45" s="20" t="n"/>
      <c r="O45" s="21" t="n"/>
      <c r="P45" s="20" t="n"/>
      <c r="Q45" s="20" t="n"/>
      <c r="R45" s="20" t="n"/>
      <c r="S45" s="18">
        <f>IF(OR(C45="",D45=""),"",C45&amp;"-"&amp;D45)</f>
        <v/>
      </c>
    </row>
    <row r="46" ht="16" customHeight="1">
      <c r="A46" s="19">
        <f>IF(B46="","",ROW()-6)</f>
        <v/>
      </c>
      <c r="B46" s="20" t="n"/>
      <c r="C46" s="21" t="n"/>
      <c r="D46" s="21" t="n"/>
      <c r="E46" s="21" t="n"/>
      <c r="F46" s="20" t="n"/>
      <c r="G46" s="21" t="n"/>
      <c r="H46" s="21" t="n"/>
      <c r="I46" s="21" t="n"/>
      <c r="J46" s="20" t="n"/>
      <c r="K46" s="21" t="n"/>
      <c r="L46" s="21" t="n"/>
      <c r="M46" s="20" t="n"/>
      <c r="N46" s="20" t="n"/>
      <c r="O46" s="21" t="n"/>
      <c r="P46" s="20" t="n"/>
      <c r="Q46" s="20" t="n"/>
      <c r="R46" s="20" t="n"/>
      <c r="S46" s="18">
        <f>IF(OR(C46="",D46=""),"",C46&amp;"-"&amp;D46)</f>
        <v/>
      </c>
    </row>
    <row r="47" ht="16" customHeight="1">
      <c r="A47" s="19">
        <f>IF(B47="","",ROW()-6)</f>
        <v/>
      </c>
      <c r="B47" s="20" t="n"/>
      <c r="C47" s="21" t="n"/>
      <c r="D47" s="21" t="n"/>
      <c r="E47" s="21" t="n"/>
      <c r="F47" s="20" t="n"/>
      <c r="G47" s="21" t="n"/>
      <c r="H47" s="21" t="n"/>
      <c r="I47" s="21" t="n"/>
      <c r="J47" s="20" t="n"/>
      <c r="K47" s="21" t="n"/>
      <c r="L47" s="21" t="n"/>
      <c r="M47" s="20" t="n"/>
      <c r="N47" s="20" t="n"/>
      <c r="O47" s="21" t="n"/>
      <c r="P47" s="20" t="n"/>
      <c r="Q47" s="20" t="n"/>
      <c r="R47" s="20" t="n"/>
      <c r="S47" s="18">
        <f>IF(OR(C47="",D47=""),"",C47&amp;"-"&amp;D47)</f>
        <v/>
      </c>
    </row>
    <row r="48" ht="16" customHeight="1">
      <c r="A48" s="19">
        <f>IF(B48="","",ROW()-6)</f>
        <v/>
      </c>
      <c r="B48" s="20" t="n"/>
      <c r="C48" s="21" t="n"/>
      <c r="D48" s="21" t="n"/>
      <c r="E48" s="21" t="n"/>
      <c r="F48" s="20" t="n"/>
      <c r="G48" s="21" t="n"/>
      <c r="H48" s="21" t="n"/>
      <c r="I48" s="21" t="n"/>
      <c r="J48" s="20" t="n"/>
      <c r="K48" s="21" t="n"/>
      <c r="L48" s="21" t="n"/>
      <c r="M48" s="20" t="n"/>
      <c r="N48" s="20" t="n"/>
      <c r="O48" s="21" t="n"/>
      <c r="P48" s="20" t="n"/>
      <c r="Q48" s="20" t="n"/>
      <c r="R48" s="20" t="n"/>
      <c r="S48" s="18">
        <f>IF(OR(C48="",D48=""),"",C48&amp;"-"&amp;D48)</f>
        <v/>
      </c>
    </row>
    <row r="49" ht="16" customHeight="1">
      <c r="A49" s="19">
        <f>IF(B49="","",ROW()-6)</f>
        <v/>
      </c>
      <c r="B49" s="20" t="n"/>
      <c r="C49" s="21" t="n"/>
      <c r="D49" s="21" t="n"/>
      <c r="E49" s="21" t="n"/>
      <c r="F49" s="20" t="n"/>
      <c r="G49" s="21" t="n"/>
      <c r="H49" s="21" t="n"/>
      <c r="I49" s="21" t="n"/>
      <c r="J49" s="20" t="n"/>
      <c r="K49" s="21" t="n"/>
      <c r="L49" s="21" t="n"/>
      <c r="M49" s="20" t="n"/>
      <c r="N49" s="20" t="n"/>
      <c r="O49" s="21" t="n"/>
      <c r="P49" s="20" t="n"/>
      <c r="Q49" s="20" t="n"/>
      <c r="R49" s="20" t="n"/>
      <c r="S49" s="18">
        <f>IF(OR(C49="",D49=""),"",C49&amp;"-"&amp;D49)</f>
        <v/>
      </c>
    </row>
    <row r="50" ht="16" customHeight="1">
      <c r="A50" s="19">
        <f>IF(B50="","",ROW()-6)</f>
        <v/>
      </c>
      <c r="B50" s="20" t="n"/>
      <c r="C50" s="21" t="n"/>
      <c r="D50" s="21" t="n"/>
      <c r="E50" s="21" t="n"/>
      <c r="F50" s="20" t="n"/>
      <c r="G50" s="21" t="n"/>
      <c r="H50" s="21" t="n"/>
      <c r="I50" s="21" t="n"/>
      <c r="J50" s="20" t="n"/>
      <c r="K50" s="21" t="n"/>
      <c r="L50" s="21" t="n"/>
      <c r="M50" s="20" t="n"/>
      <c r="N50" s="20" t="n"/>
      <c r="O50" s="21" t="n"/>
      <c r="P50" s="20" t="n"/>
      <c r="Q50" s="20" t="n"/>
      <c r="R50" s="20" t="n"/>
      <c r="S50" s="18">
        <f>IF(OR(C50="",D50=""),"",C50&amp;"-"&amp;D50)</f>
        <v/>
      </c>
    </row>
    <row r="51" ht="16" customHeight="1">
      <c r="A51" s="19">
        <f>IF(B51="","",ROW()-6)</f>
        <v/>
      </c>
      <c r="B51" s="20" t="n"/>
      <c r="C51" s="21" t="n"/>
      <c r="D51" s="21" t="n"/>
      <c r="E51" s="21" t="n"/>
      <c r="F51" s="20" t="n"/>
      <c r="G51" s="21" t="n"/>
      <c r="H51" s="21" t="n"/>
      <c r="I51" s="21" t="n"/>
      <c r="J51" s="20" t="n"/>
      <c r="K51" s="21" t="n"/>
      <c r="L51" s="21" t="n"/>
      <c r="M51" s="20" t="n"/>
      <c r="N51" s="20" t="n"/>
      <c r="O51" s="21" t="n"/>
      <c r="P51" s="20" t="n"/>
      <c r="Q51" s="20" t="n"/>
      <c r="R51" s="20" t="n"/>
      <c r="S51" s="18">
        <f>IF(OR(C51="",D51=""),"",C51&amp;"-"&amp;D51)</f>
        <v/>
      </c>
    </row>
    <row r="52" ht="16" customHeight="1">
      <c r="A52" s="19">
        <f>IF(B52="","",ROW()-6)</f>
        <v/>
      </c>
      <c r="B52" s="20" t="n"/>
      <c r="C52" s="21" t="n"/>
      <c r="D52" s="21" t="n"/>
      <c r="E52" s="21" t="n"/>
      <c r="F52" s="20" t="n"/>
      <c r="G52" s="21" t="n"/>
      <c r="H52" s="21" t="n"/>
      <c r="I52" s="21" t="n"/>
      <c r="J52" s="20" t="n"/>
      <c r="K52" s="21" t="n"/>
      <c r="L52" s="21" t="n"/>
      <c r="M52" s="20" t="n"/>
      <c r="N52" s="20" t="n"/>
      <c r="O52" s="21" t="n"/>
      <c r="P52" s="20" t="n"/>
      <c r="Q52" s="20" t="n"/>
      <c r="R52" s="20" t="n"/>
      <c r="S52" s="18">
        <f>IF(OR(C52="",D52=""),"",C52&amp;"-"&amp;D52)</f>
        <v/>
      </c>
    </row>
    <row r="53" ht="16" customHeight="1">
      <c r="A53" s="19">
        <f>IF(B53="","",ROW()-6)</f>
        <v/>
      </c>
      <c r="B53" s="20" t="n"/>
      <c r="C53" s="21" t="n"/>
      <c r="D53" s="21" t="n"/>
      <c r="E53" s="21" t="n"/>
      <c r="F53" s="20" t="n"/>
      <c r="G53" s="21" t="n"/>
      <c r="H53" s="21" t="n"/>
      <c r="I53" s="21" t="n"/>
      <c r="J53" s="20" t="n"/>
      <c r="K53" s="21" t="n"/>
      <c r="L53" s="21" t="n"/>
      <c r="M53" s="20" t="n"/>
      <c r="N53" s="20" t="n"/>
      <c r="O53" s="21" t="n"/>
      <c r="P53" s="20" t="n"/>
      <c r="Q53" s="20" t="n"/>
      <c r="R53" s="20" t="n"/>
      <c r="S53" s="18">
        <f>IF(OR(C53="",D53=""),"",C53&amp;"-"&amp;D53)</f>
        <v/>
      </c>
    </row>
    <row r="54" ht="16" customHeight="1">
      <c r="A54" s="19">
        <f>IF(B54="","",ROW()-6)</f>
        <v/>
      </c>
      <c r="B54" s="20" t="n"/>
      <c r="C54" s="21" t="n"/>
      <c r="D54" s="21" t="n"/>
      <c r="E54" s="21" t="n"/>
      <c r="F54" s="20" t="n"/>
      <c r="G54" s="21" t="n"/>
      <c r="H54" s="21" t="n"/>
      <c r="I54" s="21" t="n"/>
      <c r="J54" s="20" t="n"/>
      <c r="K54" s="21" t="n"/>
      <c r="L54" s="21" t="n"/>
      <c r="M54" s="20" t="n"/>
      <c r="N54" s="20" t="n"/>
      <c r="O54" s="21" t="n"/>
      <c r="P54" s="20" t="n"/>
      <c r="Q54" s="20" t="n"/>
      <c r="R54" s="20" t="n"/>
      <c r="S54" s="18">
        <f>IF(OR(C54="",D54=""),"",C54&amp;"-"&amp;D54)</f>
        <v/>
      </c>
    </row>
    <row r="55" ht="16" customHeight="1">
      <c r="A55" s="19">
        <f>IF(B55="","",ROW()-6)</f>
        <v/>
      </c>
      <c r="B55" s="20" t="n"/>
      <c r="C55" s="21" t="n"/>
      <c r="D55" s="21" t="n"/>
      <c r="E55" s="21" t="n"/>
      <c r="F55" s="20" t="n"/>
      <c r="G55" s="21" t="n"/>
      <c r="H55" s="21" t="n"/>
      <c r="I55" s="21" t="n"/>
      <c r="J55" s="20" t="n"/>
      <c r="K55" s="21" t="n"/>
      <c r="L55" s="21" t="n"/>
      <c r="M55" s="20" t="n"/>
      <c r="N55" s="20" t="n"/>
      <c r="O55" s="21" t="n"/>
      <c r="P55" s="20" t="n"/>
      <c r="Q55" s="20" t="n"/>
      <c r="R55" s="20" t="n"/>
      <c r="S55" s="18">
        <f>IF(OR(C55="",D55=""),"",C55&amp;"-"&amp;D55)</f>
        <v/>
      </c>
    </row>
    <row r="56" ht="16" customHeight="1">
      <c r="A56" s="19">
        <f>IF(B56="","",ROW()-6)</f>
        <v/>
      </c>
      <c r="B56" s="20" t="n"/>
      <c r="C56" s="21" t="n"/>
      <c r="D56" s="21" t="n"/>
      <c r="E56" s="21" t="n"/>
      <c r="F56" s="20" t="n"/>
      <c r="G56" s="21" t="n"/>
      <c r="H56" s="21" t="n"/>
      <c r="I56" s="21" t="n"/>
      <c r="J56" s="20" t="n"/>
      <c r="K56" s="21" t="n"/>
      <c r="L56" s="21" t="n"/>
      <c r="M56" s="20" t="n"/>
      <c r="N56" s="20" t="n"/>
      <c r="O56" s="21" t="n"/>
      <c r="P56" s="20" t="n"/>
      <c r="Q56" s="20" t="n"/>
      <c r="R56" s="20" t="n"/>
      <c r="S56" s="18">
        <f>IF(OR(C56="",D56=""),"",C56&amp;"-"&amp;D56)</f>
        <v/>
      </c>
    </row>
  </sheetData>
  <autoFilter ref="A6:R56"/>
  <mergeCells count="5">
    <mergeCell ref="A4:B4"/>
    <mergeCell ref="C4:F4"/>
    <mergeCell ref="G4:I4"/>
    <mergeCell ref="A5:R5"/>
    <mergeCell ref="J4:O4"/>
  </mergeCells>
  <conditionalFormatting sqref="R7:R56">
    <cfRule type="expression" priority="1" dxfId="1">
      <formula>LEN($R7)&gt;14</formula>
    </cfRule>
  </conditionalFormatting>
  <dataValidations count="6">
    <dataValidation sqref="F7:F56" showDropDown="0" showInputMessage="0" showErrorMessage="0" allowBlank="1" type="list">
      <formula1>"LS,FI/RCD,FI/LS (RCBO),Hauptschalter,NH-Sicherung,Neozed,SLS,Überspannungsschutz,Sonstiges"</formula1>
    </dataValidation>
    <dataValidation sqref="G7:G56" showDropDown="0" showInputMessage="0" showErrorMessage="0" allowBlank="1" type="list">
      <formula1>"B,C,D,K,Z,gG"</formula1>
    </dataValidation>
    <dataValidation sqref="I7:I56" showDropDown="0" showInputMessage="0" showErrorMessage="0" allowBlank="1" type="list">
      <formula1>"1,1+N,2,3,3+N,4"</formula1>
    </dataValidation>
    <dataValidation sqref="K7:K56" showDropDown="0" showInputMessage="0" showErrorMessage="0" allowBlank="1" type="list">
      <formula1>"10,30,100,300,500"</formula1>
    </dataValidation>
    <dataValidation sqref="L7:L56" showDropDown="0" showInputMessage="0" showErrorMessage="0" allowBlank="1" type="list">
      <formula1>"A,F,B,B+,AC,EV"</formula1>
    </dataValidation>
    <dataValidation sqref="M7:M56" showDropDown="0" showInputMessage="0" showErrorMessage="0" allowBlank="1" type="list">
      <formula1>"NYM-J,NYM-O,NYY-J,NHXMH-J,H07V-K,H07RN-F,Sonstige"</formula1>
    </dataValidation>
  </dataValidations>
  <printOptions horizontalCentered="1"/>
  <pageMargins left="0.5" right="0.5" top="0.55" bottom="0.65" header="0.25" footer="0.3"/>
  <pageSetup orientation="landscape" paperSize="9" fitToHeight="0" fitToWidth="1"/>
  <headerFooter>
    <oddHeader/>
    <oddFooter>&amp;L&amp;"Arial,Regular"&amp;7 &amp;K6E6A66Muster Elektrotechnik GmbH · Max Mustermann, Elektrotechnikermeister · 0123 456789 · info@muster-elektro.de&amp;R&amp;"Arial,Regular"&amp;7 &amp;K6E6A66Seite &amp;P von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B1:M27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8.835000000000001" customWidth="1" min="2" max="2"/>
    <col width="8.835000000000001" customWidth="1" min="3" max="3"/>
    <col width="8.835000000000001" customWidth="1" min="4" max="4"/>
    <col width="8.835000000000001" customWidth="1" min="5" max="5"/>
    <col width="8.835000000000001" customWidth="1" min="6" max="6"/>
    <col width="8.835000000000001" customWidth="1" min="7" max="7"/>
    <col width="8.835000000000001" customWidth="1" min="8" max="8"/>
    <col width="8.835000000000001" customWidth="1" min="9" max="9"/>
    <col width="8.835000000000001" customWidth="1" min="10" max="10"/>
    <col width="8.835000000000001" customWidth="1" min="11" max="11"/>
    <col width="8.835000000000001" customWidth="1" min="12" max="12"/>
    <col width="8.835000000000001" customWidth="1" min="13" max="13"/>
    <col width="1.5" customWidth="1" min="14" max="14"/>
  </cols>
  <sheetData>
    <row r="1" ht="24" customHeight="1">
      <c r="B1" s="22" t="inlineStr">
        <is>
          <t>Beschriftung Verteiler</t>
        </is>
      </c>
    </row>
    <row r="2">
      <c r="B2" s="2">
        <f>IF(Anlage!B12="","Verteiler: –","Verteiler: "&amp;Anlage!B12&amp;IF(Anlage!D12="",""," · "&amp;Anlage!D12))</f>
        <v/>
      </c>
    </row>
    <row r="3" ht="20" customHeight="1">
      <c r="B3" s="23" t="inlineStr">
        <is>
          <t>Mit 100 % drucken (keine Skalierung). Ein Feld = 1 TE = 17,5 mm – am Probedruck nachmessen. Inhalt kommt aus der Stromkreisliste (Reihe, Platz, BMK, Beschriftung kurz).</t>
        </is>
      </c>
    </row>
    <row r="5" ht="11" customHeight="1">
      <c r="B5" s="24" t="inlineStr">
        <is>
          <t>Reihe 1</t>
        </is>
      </c>
    </row>
    <row r="6" ht="34" customHeight="1">
      <c r="B6" s="25">
        <f>IFERROR(INDEX(Stromkreisliste!$B$7:$B$56,MATCH("1-1",Stromkreisliste!$S$7:$S$56,0))&amp;CHAR(10)&amp;INDEX(Stromkreisliste!$R$7:$R$56,MATCH("1-1",Stromkreisliste!$S$7:$S$56,0)),"")</f>
        <v/>
      </c>
      <c r="C6" s="25">
        <f>IFERROR(INDEX(Stromkreisliste!$B$7:$B$56,MATCH("1-2",Stromkreisliste!$S$7:$S$56,0))&amp;CHAR(10)&amp;INDEX(Stromkreisliste!$R$7:$R$56,MATCH("1-2",Stromkreisliste!$S$7:$S$56,0)),"")</f>
        <v/>
      </c>
      <c r="D6" s="25">
        <f>IFERROR(INDEX(Stromkreisliste!$B$7:$B$56,MATCH("1-3",Stromkreisliste!$S$7:$S$56,0))&amp;CHAR(10)&amp;INDEX(Stromkreisliste!$R$7:$R$56,MATCH("1-3",Stromkreisliste!$S$7:$S$56,0)),"")</f>
        <v/>
      </c>
      <c r="E6" s="25">
        <f>IFERROR(INDEX(Stromkreisliste!$B$7:$B$56,MATCH("1-4",Stromkreisliste!$S$7:$S$56,0))&amp;CHAR(10)&amp;INDEX(Stromkreisliste!$R$7:$R$56,MATCH("1-4",Stromkreisliste!$S$7:$S$56,0)),"")</f>
        <v/>
      </c>
      <c r="F6" s="25">
        <f>IFERROR(INDEX(Stromkreisliste!$B$7:$B$56,MATCH("1-5",Stromkreisliste!$S$7:$S$56,0))&amp;CHAR(10)&amp;INDEX(Stromkreisliste!$R$7:$R$56,MATCH("1-5",Stromkreisliste!$S$7:$S$56,0)),"")</f>
        <v/>
      </c>
      <c r="G6" s="25">
        <f>IFERROR(INDEX(Stromkreisliste!$B$7:$B$56,MATCH("1-6",Stromkreisliste!$S$7:$S$56,0))&amp;CHAR(10)&amp;INDEX(Stromkreisliste!$R$7:$R$56,MATCH("1-6",Stromkreisliste!$S$7:$S$56,0)),"")</f>
        <v/>
      </c>
      <c r="H6" s="25">
        <f>IFERROR(INDEX(Stromkreisliste!$B$7:$B$56,MATCH("1-7",Stromkreisliste!$S$7:$S$56,0))&amp;CHAR(10)&amp;INDEX(Stromkreisliste!$R$7:$R$56,MATCH("1-7",Stromkreisliste!$S$7:$S$56,0)),"")</f>
        <v/>
      </c>
      <c r="I6" s="25">
        <f>IFERROR(INDEX(Stromkreisliste!$B$7:$B$56,MATCH("1-8",Stromkreisliste!$S$7:$S$56,0))&amp;CHAR(10)&amp;INDEX(Stromkreisliste!$R$7:$R$56,MATCH("1-8",Stromkreisliste!$S$7:$S$56,0)),"")</f>
        <v/>
      </c>
      <c r="J6" s="25">
        <f>IFERROR(INDEX(Stromkreisliste!$B$7:$B$56,MATCH("1-9",Stromkreisliste!$S$7:$S$56,0))&amp;CHAR(10)&amp;INDEX(Stromkreisliste!$R$7:$R$56,MATCH("1-9",Stromkreisliste!$S$7:$S$56,0)),"")</f>
        <v/>
      </c>
      <c r="K6" s="25">
        <f>IFERROR(INDEX(Stromkreisliste!$B$7:$B$56,MATCH("1-10",Stromkreisliste!$S$7:$S$56,0))&amp;CHAR(10)&amp;INDEX(Stromkreisliste!$R$7:$R$56,MATCH("1-10",Stromkreisliste!$S$7:$S$56,0)),"")</f>
        <v/>
      </c>
      <c r="L6" s="25">
        <f>IFERROR(INDEX(Stromkreisliste!$B$7:$B$56,MATCH("1-11",Stromkreisliste!$S$7:$S$56,0))&amp;CHAR(10)&amp;INDEX(Stromkreisliste!$R$7:$R$56,MATCH("1-11",Stromkreisliste!$S$7:$S$56,0)),"")</f>
        <v/>
      </c>
      <c r="M6" s="25">
        <f>IFERROR(INDEX(Stromkreisliste!$B$7:$B$56,MATCH("1-12",Stromkreisliste!$S$7:$S$56,0))&amp;CHAR(10)&amp;INDEX(Stromkreisliste!$R$7:$R$56,MATCH("1-12",Stromkreisliste!$S$7:$S$56,0)),"")</f>
        <v/>
      </c>
    </row>
    <row r="7" ht="8" customHeight="1"/>
    <row r="8" ht="11" customHeight="1">
      <c r="B8" s="24" t="inlineStr">
        <is>
          <t>Reihe 2</t>
        </is>
      </c>
    </row>
    <row r="9" ht="34" customHeight="1">
      <c r="B9" s="25">
        <f>IFERROR(INDEX(Stromkreisliste!$B$7:$B$56,MATCH("2-1",Stromkreisliste!$S$7:$S$56,0))&amp;CHAR(10)&amp;INDEX(Stromkreisliste!$R$7:$R$56,MATCH("2-1",Stromkreisliste!$S$7:$S$56,0)),"")</f>
        <v/>
      </c>
      <c r="C9" s="25">
        <f>IFERROR(INDEX(Stromkreisliste!$B$7:$B$56,MATCH("2-2",Stromkreisliste!$S$7:$S$56,0))&amp;CHAR(10)&amp;INDEX(Stromkreisliste!$R$7:$R$56,MATCH("2-2",Stromkreisliste!$S$7:$S$56,0)),"")</f>
        <v/>
      </c>
      <c r="D9" s="25">
        <f>IFERROR(INDEX(Stromkreisliste!$B$7:$B$56,MATCH("2-3",Stromkreisliste!$S$7:$S$56,0))&amp;CHAR(10)&amp;INDEX(Stromkreisliste!$R$7:$R$56,MATCH("2-3",Stromkreisliste!$S$7:$S$56,0)),"")</f>
        <v/>
      </c>
      <c r="E9" s="25">
        <f>IFERROR(INDEX(Stromkreisliste!$B$7:$B$56,MATCH("2-4",Stromkreisliste!$S$7:$S$56,0))&amp;CHAR(10)&amp;INDEX(Stromkreisliste!$R$7:$R$56,MATCH("2-4",Stromkreisliste!$S$7:$S$56,0)),"")</f>
        <v/>
      </c>
      <c r="F9" s="25">
        <f>IFERROR(INDEX(Stromkreisliste!$B$7:$B$56,MATCH("2-5",Stromkreisliste!$S$7:$S$56,0))&amp;CHAR(10)&amp;INDEX(Stromkreisliste!$R$7:$R$56,MATCH("2-5",Stromkreisliste!$S$7:$S$56,0)),"")</f>
        <v/>
      </c>
      <c r="G9" s="25">
        <f>IFERROR(INDEX(Stromkreisliste!$B$7:$B$56,MATCH("2-6",Stromkreisliste!$S$7:$S$56,0))&amp;CHAR(10)&amp;INDEX(Stromkreisliste!$R$7:$R$56,MATCH("2-6",Stromkreisliste!$S$7:$S$56,0)),"")</f>
        <v/>
      </c>
      <c r="H9" s="25">
        <f>IFERROR(INDEX(Stromkreisliste!$B$7:$B$56,MATCH("2-7",Stromkreisliste!$S$7:$S$56,0))&amp;CHAR(10)&amp;INDEX(Stromkreisliste!$R$7:$R$56,MATCH("2-7",Stromkreisliste!$S$7:$S$56,0)),"")</f>
        <v/>
      </c>
      <c r="I9" s="25">
        <f>IFERROR(INDEX(Stromkreisliste!$B$7:$B$56,MATCH("2-8",Stromkreisliste!$S$7:$S$56,0))&amp;CHAR(10)&amp;INDEX(Stromkreisliste!$R$7:$R$56,MATCH("2-8",Stromkreisliste!$S$7:$S$56,0)),"")</f>
        <v/>
      </c>
      <c r="J9" s="25">
        <f>IFERROR(INDEX(Stromkreisliste!$B$7:$B$56,MATCH("2-9",Stromkreisliste!$S$7:$S$56,0))&amp;CHAR(10)&amp;INDEX(Stromkreisliste!$R$7:$R$56,MATCH("2-9",Stromkreisliste!$S$7:$S$56,0)),"")</f>
        <v/>
      </c>
      <c r="K9" s="25">
        <f>IFERROR(INDEX(Stromkreisliste!$B$7:$B$56,MATCH("2-10",Stromkreisliste!$S$7:$S$56,0))&amp;CHAR(10)&amp;INDEX(Stromkreisliste!$R$7:$R$56,MATCH("2-10",Stromkreisliste!$S$7:$S$56,0)),"")</f>
        <v/>
      </c>
      <c r="L9" s="25">
        <f>IFERROR(INDEX(Stromkreisliste!$B$7:$B$56,MATCH("2-11",Stromkreisliste!$S$7:$S$56,0))&amp;CHAR(10)&amp;INDEX(Stromkreisliste!$R$7:$R$56,MATCH("2-11",Stromkreisliste!$S$7:$S$56,0)),"")</f>
        <v/>
      </c>
      <c r="M9" s="25">
        <f>IFERROR(INDEX(Stromkreisliste!$B$7:$B$56,MATCH("2-12",Stromkreisliste!$S$7:$S$56,0))&amp;CHAR(10)&amp;INDEX(Stromkreisliste!$R$7:$R$56,MATCH("2-12",Stromkreisliste!$S$7:$S$56,0)),"")</f>
        <v/>
      </c>
    </row>
    <row r="10" ht="8" customHeight="1"/>
    <row r="11" ht="11" customHeight="1">
      <c r="B11" s="24" t="inlineStr">
        <is>
          <t>Reihe 3</t>
        </is>
      </c>
    </row>
    <row r="12" ht="34" customHeight="1">
      <c r="B12" s="25">
        <f>IFERROR(INDEX(Stromkreisliste!$B$7:$B$56,MATCH("3-1",Stromkreisliste!$S$7:$S$56,0))&amp;CHAR(10)&amp;INDEX(Stromkreisliste!$R$7:$R$56,MATCH("3-1",Stromkreisliste!$S$7:$S$56,0)),"")</f>
        <v/>
      </c>
      <c r="C12" s="25">
        <f>IFERROR(INDEX(Stromkreisliste!$B$7:$B$56,MATCH("3-2",Stromkreisliste!$S$7:$S$56,0))&amp;CHAR(10)&amp;INDEX(Stromkreisliste!$R$7:$R$56,MATCH("3-2",Stromkreisliste!$S$7:$S$56,0)),"")</f>
        <v/>
      </c>
      <c r="D12" s="25">
        <f>IFERROR(INDEX(Stromkreisliste!$B$7:$B$56,MATCH("3-3",Stromkreisliste!$S$7:$S$56,0))&amp;CHAR(10)&amp;INDEX(Stromkreisliste!$R$7:$R$56,MATCH("3-3",Stromkreisliste!$S$7:$S$56,0)),"")</f>
        <v/>
      </c>
      <c r="E12" s="25">
        <f>IFERROR(INDEX(Stromkreisliste!$B$7:$B$56,MATCH("3-4",Stromkreisliste!$S$7:$S$56,0))&amp;CHAR(10)&amp;INDEX(Stromkreisliste!$R$7:$R$56,MATCH("3-4",Stromkreisliste!$S$7:$S$56,0)),"")</f>
        <v/>
      </c>
      <c r="F12" s="25">
        <f>IFERROR(INDEX(Stromkreisliste!$B$7:$B$56,MATCH("3-5",Stromkreisliste!$S$7:$S$56,0))&amp;CHAR(10)&amp;INDEX(Stromkreisliste!$R$7:$R$56,MATCH("3-5",Stromkreisliste!$S$7:$S$56,0)),"")</f>
        <v/>
      </c>
      <c r="G12" s="25">
        <f>IFERROR(INDEX(Stromkreisliste!$B$7:$B$56,MATCH("3-6",Stromkreisliste!$S$7:$S$56,0))&amp;CHAR(10)&amp;INDEX(Stromkreisliste!$R$7:$R$56,MATCH("3-6",Stromkreisliste!$S$7:$S$56,0)),"")</f>
        <v/>
      </c>
      <c r="H12" s="25">
        <f>IFERROR(INDEX(Stromkreisliste!$B$7:$B$56,MATCH("3-7",Stromkreisliste!$S$7:$S$56,0))&amp;CHAR(10)&amp;INDEX(Stromkreisliste!$R$7:$R$56,MATCH("3-7",Stromkreisliste!$S$7:$S$56,0)),"")</f>
        <v/>
      </c>
      <c r="I12" s="25">
        <f>IFERROR(INDEX(Stromkreisliste!$B$7:$B$56,MATCH("3-8",Stromkreisliste!$S$7:$S$56,0))&amp;CHAR(10)&amp;INDEX(Stromkreisliste!$R$7:$R$56,MATCH("3-8",Stromkreisliste!$S$7:$S$56,0)),"")</f>
        <v/>
      </c>
      <c r="J12" s="25">
        <f>IFERROR(INDEX(Stromkreisliste!$B$7:$B$56,MATCH("3-9",Stromkreisliste!$S$7:$S$56,0))&amp;CHAR(10)&amp;INDEX(Stromkreisliste!$R$7:$R$56,MATCH("3-9",Stromkreisliste!$S$7:$S$56,0)),"")</f>
        <v/>
      </c>
      <c r="K12" s="25">
        <f>IFERROR(INDEX(Stromkreisliste!$B$7:$B$56,MATCH("3-10",Stromkreisliste!$S$7:$S$56,0))&amp;CHAR(10)&amp;INDEX(Stromkreisliste!$R$7:$R$56,MATCH("3-10",Stromkreisliste!$S$7:$S$56,0)),"")</f>
        <v/>
      </c>
      <c r="L12" s="25">
        <f>IFERROR(INDEX(Stromkreisliste!$B$7:$B$56,MATCH("3-11",Stromkreisliste!$S$7:$S$56,0))&amp;CHAR(10)&amp;INDEX(Stromkreisliste!$R$7:$R$56,MATCH("3-11",Stromkreisliste!$S$7:$S$56,0)),"")</f>
        <v/>
      </c>
      <c r="M12" s="25">
        <f>IFERROR(INDEX(Stromkreisliste!$B$7:$B$56,MATCH("3-12",Stromkreisliste!$S$7:$S$56,0))&amp;CHAR(10)&amp;INDEX(Stromkreisliste!$R$7:$R$56,MATCH("3-12",Stromkreisliste!$S$7:$S$56,0)),"")</f>
        <v/>
      </c>
    </row>
    <row r="13" ht="8" customHeight="1"/>
    <row r="14" ht="11" customHeight="1">
      <c r="B14" s="24" t="inlineStr">
        <is>
          <t>Reihe 4</t>
        </is>
      </c>
    </row>
    <row r="15" ht="34" customHeight="1">
      <c r="B15" s="25">
        <f>IFERROR(INDEX(Stromkreisliste!$B$7:$B$56,MATCH("4-1",Stromkreisliste!$S$7:$S$56,0))&amp;CHAR(10)&amp;INDEX(Stromkreisliste!$R$7:$R$56,MATCH("4-1",Stromkreisliste!$S$7:$S$56,0)),"")</f>
        <v/>
      </c>
      <c r="C15" s="25">
        <f>IFERROR(INDEX(Stromkreisliste!$B$7:$B$56,MATCH("4-2",Stromkreisliste!$S$7:$S$56,0))&amp;CHAR(10)&amp;INDEX(Stromkreisliste!$R$7:$R$56,MATCH("4-2",Stromkreisliste!$S$7:$S$56,0)),"")</f>
        <v/>
      </c>
      <c r="D15" s="25">
        <f>IFERROR(INDEX(Stromkreisliste!$B$7:$B$56,MATCH("4-3",Stromkreisliste!$S$7:$S$56,0))&amp;CHAR(10)&amp;INDEX(Stromkreisliste!$R$7:$R$56,MATCH("4-3",Stromkreisliste!$S$7:$S$56,0)),"")</f>
        <v/>
      </c>
      <c r="E15" s="25">
        <f>IFERROR(INDEX(Stromkreisliste!$B$7:$B$56,MATCH("4-4",Stromkreisliste!$S$7:$S$56,0))&amp;CHAR(10)&amp;INDEX(Stromkreisliste!$R$7:$R$56,MATCH("4-4",Stromkreisliste!$S$7:$S$56,0)),"")</f>
        <v/>
      </c>
      <c r="F15" s="25">
        <f>IFERROR(INDEX(Stromkreisliste!$B$7:$B$56,MATCH("4-5",Stromkreisliste!$S$7:$S$56,0))&amp;CHAR(10)&amp;INDEX(Stromkreisliste!$R$7:$R$56,MATCH("4-5",Stromkreisliste!$S$7:$S$56,0)),"")</f>
        <v/>
      </c>
      <c r="G15" s="25">
        <f>IFERROR(INDEX(Stromkreisliste!$B$7:$B$56,MATCH("4-6",Stromkreisliste!$S$7:$S$56,0))&amp;CHAR(10)&amp;INDEX(Stromkreisliste!$R$7:$R$56,MATCH("4-6",Stromkreisliste!$S$7:$S$56,0)),"")</f>
        <v/>
      </c>
      <c r="H15" s="25">
        <f>IFERROR(INDEX(Stromkreisliste!$B$7:$B$56,MATCH("4-7",Stromkreisliste!$S$7:$S$56,0))&amp;CHAR(10)&amp;INDEX(Stromkreisliste!$R$7:$R$56,MATCH("4-7",Stromkreisliste!$S$7:$S$56,0)),"")</f>
        <v/>
      </c>
      <c r="I15" s="25">
        <f>IFERROR(INDEX(Stromkreisliste!$B$7:$B$56,MATCH("4-8",Stromkreisliste!$S$7:$S$56,0))&amp;CHAR(10)&amp;INDEX(Stromkreisliste!$R$7:$R$56,MATCH("4-8",Stromkreisliste!$S$7:$S$56,0)),"")</f>
        <v/>
      </c>
      <c r="J15" s="25">
        <f>IFERROR(INDEX(Stromkreisliste!$B$7:$B$56,MATCH("4-9",Stromkreisliste!$S$7:$S$56,0))&amp;CHAR(10)&amp;INDEX(Stromkreisliste!$R$7:$R$56,MATCH("4-9",Stromkreisliste!$S$7:$S$56,0)),"")</f>
        <v/>
      </c>
      <c r="K15" s="25">
        <f>IFERROR(INDEX(Stromkreisliste!$B$7:$B$56,MATCH("4-10",Stromkreisliste!$S$7:$S$56,0))&amp;CHAR(10)&amp;INDEX(Stromkreisliste!$R$7:$R$56,MATCH("4-10",Stromkreisliste!$S$7:$S$56,0)),"")</f>
        <v/>
      </c>
      <c r="L15" s="25">
        <f>IFERROR(INDEX(Stromkreisliste!$B$7:$B$56,MATCH("4-11",Stromkreisliste!$S$7:$S$56,0))&amp;CHAR(10)&amp;INDEX(Stromkreisliste!$R$7:$R$56,MATCH("4-11",Stromkreisliste!$S$7:$S$56,0)),"")</f>
        <v/>
      </c>
      <c r="M15" s="25">
        <f>IFERROR(INDEX(Stromkreisliste!$B$7:$B$56,MATCH("4-12",Stromkreisliste!$S$7:$S$56,0))&amp;CHAR(10)&amp;INDEX(Stromkreisliste!$R$7:$R$56,MATCH("4-12",Stromkreisliste!$S$7:$S$56,0)),"")</f>
        <v/>
      </c>
    </row>
    <row r="16" ht="8" customHeight="1"/>
    <row r="17" ht="11" customHeight="1">
      <c r="B17" s="24" t="inlineStr">
        <is>
          <t>Reihe 5</t>
        </is>
      </c>
    </row>
    <row r="18" ht="34" customHeight="1">
      <c r="B18" s="25">
        <f>IFERROR(INDEX(Stromkreisliste!$B$7:$B$56,MATCH("5-1",Stromkreisliste!$S$7:$S$56,0))&amp;CHAR(10)&amp;INDEX(Stromkreisliste!$R$7:$R$56,MATCH("5-1",Stromkreisliste!$S$7:$S$56,0)),"")</f>
        <v/>
      </c>
      <c r="C18" s="25">
        <f>IFERROR(INDEX(Stromkreisliste!$B$7:$B$56,MATCH("5-2",Stromkreisliste!$S$7:$S$56,0))&amp;CHAR(10)&amp;INDEX(Stromkreisliste!$R$7:$R$56,MATCH("5-2",Stromkreisliste!$S$7:$S$56,0)),"")</f>
        <v/>
      </c>
      <c r="D18" s="25">
        <f>IFERROR(INDEX(Stromkreisliste!$B$7:$B$56,MATCH("5-3",Stromkreisliste!$S$7:$S$56,0))&amp;CHAR(10)&amp;INDEX(Stromkreisliste!$R$7:$R$56,MATCH("5-3",Stromkreisliste!$S$7:$S$56,0)),"")</f>
        <v/>
      </c>
      <c r="E18" s="25">
        <f>IFERROR(INDEX(Stromkreisliste!$B$7:$B$56,MATCH("5-4",Stromkreisliste!$S$7:$S$56,0))&amp;CHAR(10)&amp;INDEX(Stromkreisliste!$R$7:$R$56,MATCH("5-4",Stromkreisliste!$S$7:$S$56,0)),"")</f>
        <v/>
      </c>
      <c r="F18" s="25">
        <f>IFERROR(INDEX(Stromkreisliste!$B$7:$B$56,MATCH("5-5",Stromkreisliste!$S$7:$S$56,0))&amp;CHAR(10)&amp;INDEX(Stromkreisliste!$R$7:$R$56,MATCH("5-5",Stromkreisliste!$S$7:$S$56,0)),"")</f>
        <v/>
      </c>
      <c r="G18" s="25">
        <f>IFERROR(INDEX(Stromkreisliste!$B$7:$B$56,MATCH("5-6",Stromkreisliste!$S$7:$S$56,0))&amp;CHAR(10)&amp;INDEX(Stromkreisliste!$R$7:$R$56,MATCH("5-6",Stromkreisliste!$S$7:$S$56,0)),"")</f>
        <v/>
      </c>
      <c r="H18" s="25">
        <f>IFERROR(INDEX(Stromkreisliste!$B$7:$B$56,MATCH("5-7",Stromkreisliste!$S$7:$S$56,0))&amp;CHAR(10)&amp;INDEX(Stromkreisliste!$R$7:$R$56,MATCH("5-7",Stromkreisliste!$S$7:$S$56,0)),"")</f>
        <v/>
      </c>
      <c r="I18" s="25">
        <f>IFERROR(INDEX(Stromkreisliste!$B$7:$B$56,MATCH("5-8",Stromkreisliste!$S$7:$S$56,0))&amp;CHAR(10)&amp;INDEX(Stromkreisliste!$R$7:$R$56,MATCH("5-8",Stromkreisliste!$S$7:$S$56,0)),"")</f>
        <v/>
      </c>
      <c r="J18" s="25">
        <f>IFERROR(INDEX(Stromkreisliste!$B$7:$B$56,MATCH("5-9",Stromkreisliste!$S$7:$S$56,0))&amp;CHAR(10)&amp;INDEX(Stromkreisliste!$R$7:$R$56,MATCH("5-9",Stromkreisliste!$S$7:$S$56,0)),"")</f>
        <v/>
      </c>
      <c r="K18" s="25">
        <f>IFERROR(INDEX(Stromkreisliste!$B$7:$B$56,MATCH("5-10",Stromkreisliste!$S$7:$S$56,0))&amp;CHAR(10)&amp;INDEX(Stromkreisliste!$R$7:$R$56,MATCH("5-10",Stromkreisliste!$S$7:$S$56,0)),"")</f>
        <v/>
      </c>
      <c r="L18" s="25">
        <f>IFERROR(INDEX(Stromkreisliste!$B$7:$B$56,MATCH("5-11",Stromkreisliste!$S$7:$S$56,0))&amp;CHAR(10)&amp;INDEX(Stromkreisliste!$R$7:$R$56,MATCH("5-11",Stromkreisliste!$S$7:$S$56,0)),"")</f>
        <v/>
      </c>
      <c r="M18" s="25">
        <f>IFERROR(INDEX(Stromkreisliste!$B$7:$B$56,MATCH("5-12",Stromkreisliste!$S$7:$S$56,0))&amp;CHAR(10)&amp;INDEX(Stromkreisliste!$R$7:$R$56,MATCH("5-12",Stromkreisliste!$S$7:$S$56,0)),"")</f>
        <v/>
      </c>
    </row>
    <row r="19" ht="8" customHeight="1"/>
    <row r="20" ht="11" customHeight="1">
      <c r="B20" s="24" t="inlineStr">
        <is>
          <t>Reihe 6</t>
        </is>
      </c>
    </row>
    <row r="21" ht="34" customHeight="1">
      <c r="B21" s="25">
        <f>IFERROR(INDEX(Stromkreisliste!$B$7:$B$56,MATCH("6-1",Stromkreisliste!$S$7:$S$56,0))&amp;CHAR(10)&amp;INDEX(Stromkreisliste!$R$7:$R$56,MATCH("6-1",Stromkreisliste!$S$7:$S$56,0)),"")</f>
        <v/>
      </c>
      <c r="C21" s="25">
        <f>IFERROR(INDEX(Stromkreisliste!$B$7:$B$56,MATCH("6-2",Stromkreisliste!$S$7:$S$56,0))&amp;CHAR(10)&amp;INDEX(Stromkreisliste!$R$7:$R$56,MATCH("6-2",Stromkreisliste!$S$7:$S$56,0)),"")</f>
        <v/>
      </c>
      <c r="D21" s="25">
        <f>IFERROR(INDEX(Stromkreisliste!$B$7:$B$56,MATCH("6-3",Stromkreisliste!$S$7:$S$56,0))&amp;CHAR(10)&amp;INDEX(Stromkreisliste!$R$7:$R$56,MATCH("6-3",Stromkreisliste!$S$7:$S$56,0)),"")</f>
        <v/>
      </c>
      <c r="E21" s="25">
        <f>IFERROR(INDEX(Stromkreisliste!$B$7:$B$56,MATCH("6-4",Stromkreisliste!$S$7:$S$56,0))&amp;CHAR(10)&amp;INDEX(Stromkreisliste!$R$7:$R$56,MATCH("6-4",Stromkreisliste!$S$7:$S$56,0)),"")</f>
        <v/>
      </c>
      <c r="F21" s="25">
        <f>IFERROR(INDEX(Stromkreisliste!$B$7:$B$56,MATCH("6-5",Stromkreisliste!$S$7:$S$56,0))&amp;CHAR(10)&amp;INDEX(Stromkreisliste!$R$7:$R$56,MATCH("6-5",Stromkreisliste!$S$7:$S$56,0)),"")</f>
        <v/>
      </c>
      <c r="G21" s="25">
        <f>IFERROR(INDEX(Stromkreisliste!$B$7:$B$56,MATCH("6-6",Stromkreisliste!$S$7:$S$56,0))&amp;CHAR(10)&amp;INDEX(Stromkreisliste!$R$7:$R$56,MATCH("6-6",Stromkreisliste!$S$7:$S$56,0)),"")</f>
        <v/>
      </c>
      <c r="H21" s="25">
        <f>IFERROR(INDEX(Stromkreisliste!$B$7:$B$56,MATCH("6-7",Stromkreisliste!$S$7:$S$56,0))&amp;CHAR(10)&amp;INDEX(Stromkreisliste!$R$7:$R$56,MATCH("6-7",Stromkreisliste!$S$7:$S$56,0)),"")</f>
        <v/>
      </c>
      <c r="I21" s="25">
        <f>IFERROR(INDEX(Stromkreisliste!$B$7:$B$56,MATCH("6-8",Stromkreisliste!$S$7:$S$56,0))&amp;CHAR(10)&amp;INDEX(Stromkreisliste!$R$7:$R$56,MATCH("6-8",Stromkreisliste!$S$7:$S$56,0)),"")</f>
        <v/>
      </c>
      <c r="J21" s="25">
        <f>IFERROR(INDEX(Stromkreisliste!$B$7:$B$56,MATCH("6-9",Stromkreisliste!$S$7:$S$56,0))&amp;CHAR(10)&amp;INDEX(Stromkreisliste!$R$7:$R$56,MATCH("6-9",Stromkreisliste!$S$7:$S$56,0)),"")</f>
        <v/>
      </c>
      <c r="K21" s="25">
        <f>IFERROR(INDEX(Stromkreisliste!$B$7:$B$56,MATCH("6-10",Stromkreisliste!$S$7:$S$56,0))&amp;CHAR(10)&amp;INDEX(Stromkreisliste!$R$7:$R$56,MATCH("6-10",Stromkreisliste!$S$7:$S$56,0)),"")</f>
        <v/>
      </c>
      <c r="L21" s="25">
        <f>IFERROR(INDEX(Stromkreisliste!$B$7:$B$56,MATCH("6-11",Stromkreisliste!$S$7:$S$56,0))&amp;CHAR(10)&amp;INDEX(Stromkreisliste!$R$7:$R$56,MATCH("6-11",Stromkreisliste!$S$7:$S$56,0)),"")</f>
        <v/>
      </c>
      <c r="M21" s="25">
        <f>IFERROR(INDEX(Stromkreisliste!$B$7:$B$56,MATCH("6-12",Stromkreisliste!$S$7:$S$56,0))&amp;CHAR(10)&amp;INDEX(Stromkreisliste!$R$7:$R$56,MATCH("6-12",Stromkreisliste!$S$7:$S$56,0)),"")</f>
        <v/>
      </c>
    </row>
    <row r="22" ht="8" customHeight="1"/>
    <row r="23" ht="11" customHeight="1">
      <c r="B23" s="24" t="inlineStr">
        <is>
          <t>Reihe 7</t>
        </is>
      </c>
    </row>
    <row r="24" ht="34" customHeight="1">
      <c r="B24" s="25">
        <f>IFERROR(INDEX(Stromkreisliste!$B$7:$B$56,MATCH("7-1",Stromkreisliste!$S$7:$S$56,0))&amp;CHAR(10)&amp;INDEX(Stromkreisliste!$R$7:$R$56,MATCH("7-1",Stromkreisliste!$S$7:$S$56,0)),"")</f>
        <v/>
      </c>
      <c r="C24" s="25">
        <f>IFERROR(INDEX(Stromkreisliste!$B$7:$B$56,MATCH("7-2",Stromkreisliste!$S$7:$S$56,0))&amp;CHAR(10)&amp;INDEX(Stromkreisliste!$R$7:$R$56,MATCH("7-2",Stromkreisliste!$S$7:$S$56,0)),"")</f>
        <v/>
      </c>
      <c r="D24" s="25">
        <f>IFERROR(INDEX(Stromkreisliste!$B$7:$B$56,MATCH("7-3",Stromkreisliste!$S$7:$S$56,0))&amp;CHAR(10)&amp;INDEX(Stromkreisliste!$R$7:$R$56,MATCH("7-3",Stromkreisliste!$S$7:$S$56,0)),"")</f>
        <v/>
      </c>
      <c r="E24" s="25">
        <f>IFERROR(INDEX(Stromkreisliste!$B$7:$B$56,MATCH("7-4",Stromkreisliste!$S$7:$S$56,0))&amp;CHAR(10)&amp;INDEX(Stromkreisliste!$R$7:$R$56,MATCH("7-4",Stromkreisliste!$S$7:$S$56,0)),"")</f>
        <v/>
      </c>
      <c r="F24" s="25">
        <f>IFERROR(INDEX(Stromkreisliste!$B$7:$B$56,MATCH("7-5",Stromkreisliste!$S$7:$S$56,0))&amp;CHAR(10)&amp;INDEX(Stromkreisliste!$R$7:$R$56,MATCH("7-5",Stromkreisliste!$S$7:$S$56,0)),"")</f>
        <v/>
      </c>
      <c r="G24" s="25">
        <f>IFERROR(INDEX(Stromkreisliste!$B$7:$B$56,MATCH("7-6",Stromkreisliste!$S$7:$S$56,0))&amp;CHAR(10)&amp;INDEX(Stromkreisliste!$R$7:$R$56,MATCH("7-6",Stromkreisliste!$S$7:$S$56,0)),"")</f>
        <v/>
      </c>
      <c r="H24" s="25">
        <f>IFERROR(INDEX(Stromkreisliste!$B$7:$B$56,MATCH("7-7",Stromkreisliste!$S$7:$S$56,0))&amp;CHAR(10)&amp;INDEX(Stromkreisliste!$R$7:$R$56,MATCH("7-7",Stromkreisliste!$S$7:$S$56,0)),"")</f>
        <v/>
      </c>
      <c r="I24" s="25">
        <f>IFERROR(INDEX(Stromkreisliste!$B$7:$B$56,MATCH("7-8",Stromkreisliste!$S$7:$S$56,0))&amp;CHAR(10)&amp;INDEX(Stromkreisliste!$R$7:$R$56,MATCH("7-8",Stromkreisliste!$S$7:$S$56,0)),"")</f>
        <v/>
      </c>
      <c r="J24" s="25">
        <f>IFERROR(INDEX(Stromkreisliste!$B$7:$B$56,MATCH("7-9",Stromkreisliste!$S$7:$S$56,0))&amp;CHAR(10)&amp;INDEX(Stromkreisliste!$R$7:$R$56,MATCH("7-9",Stromkreisliste!$S$7:$S$56,0)),"")</f>
        <v/>
      </c>
      <c r="K24" s="25">
        <f>IFERROR(INDEX(Stromkreisliste!$B$7:$B$56,MATCH("7-10",Stromkreisliste!$S$7:$S$56,0))&amp;CHAR(10)&amp;INDEX(Stromkreisliste!$R$7:$R$56,MATCH("7-10",Stromkreisliste!$S$7:$S$56,0)),"")</f>
        <v/>
      </c>
      <c r="L24" s="25">
        <f>IFERROR(INDEX(Stromkreisliste!$B$7:$B$56,MATCH("7-11",Stromkreisliste!$S$7:$S$56,0))&amp;CHAR(10)&amp;INDEX(Stromkreisliste!$R$7:$R$56,MATCH("7-11",Stromkreisliste!$S$7:$S$56,0)),"")</f>
        <v/>
      </c>
      <c r="M24" s="25">
        <f>IFERROR(INDEX(Stromkreisliste!$B$7:$B$56,MATCH("7-12",Stromkreisliste!$S$7:$S$56,0))&amp;CHAR(10)&amp;INDEX(Stromkreisliste!$R$7:$R$56,MATCH("7-12",Stromkreisliste!$S$7:$S$56,0)),"")</f>
        <v/>
      </c>
    </row>
    <row r="25" ht="8" customHeight="1"/>
    <row r="26" ht="11" customHeight="1">
      <c r="B26" s="24" t="inlineStr">
        <is>
          <t>Reihe 8</t>
        </is>
      </c>
    </row>
    <row r="27" ht="34" customHeight="1">
      <c r="B27" s="25">
        <f>IFERROR(INDEX(Stromkreisliste!$B$7:$B$56,MATCH("8-1",Stromkreisliste!$S$7:$S$56,0))&amp;CHAR(10)&amp;INDEX(Stromkreisliste!$R$7:$R$56,MATCH("8-1",Stromkreisliste!$S$7:$S$56,0)),"")</f>
        <v/>
      </c>
      <c r="C27" s="25">
        <f>IFERROR(INDEX(Stromkreisliste!$B$7:$B$56,MATCH("8-2",Stromkreisliste!$S$7:$S$56,0))&amp;CHAR(10)&amp;INDEX(Stromkreisliste!$R$7:$R$56,MATCH("8-2",Stromkreisliste!$S$7:$S$56,0)),"")</f>
        <v/>
      </c>
      <c r="D27" s="25">
        <f>IFERROR(INDEX(Stromkreisliste!$B$7:$B$56,MATCH("8-3",Stromkreisliste!$S$7:$S$56,0))&amp;CHAR(10)&amp;INDEX(Stromkreisliste!$R$7:$R$56,MATCH("8-3",Stromkreisliste!$S$7:$S$56,0)),"")</f>
        <v/>
      </c>
      <c r="E27" s="25">
        <f>IFERROR(INDEX(Stromkreisliste!$B$7:$B$56,MATCH("8-4",Stromkreisliste!$S$7:$S$56,0))&amp;CHAR(10)&amp;INDEX(Stromkreisliste!$R$7:$R$56,MATCH("8-4",Stromkreisliste!$S$7:$S$56,0)),"")</f>
        <v/>
      </c>
      <c r="F27" s="25">
        <f>IFERROR(INDEX(Stromkreisliste!$B$7:$B$56,MATCH("8-5",Stromkreisliste!$S$7:$S$56,0))&amp;CHAR(10)&amp;INDEX(Stromkreisliste!$R$7:$R$56,MATCH("8-5",Stromkreisliste!$S$7:$S$56,0)),"")</f>
        <v/>
      </c>
      <c r="G27" s="25">
        <f>IFERROR(INDEX(Stromkreisliste!$B$7:$B$56,MATCH("8-6",Stromkreisliste!$S$7:$S$56,0))&amp;CHAR(10)&amp;INDEX(Stromkreisliste!$R$7:$R$56,MATCH("8-6",Stromkreisliste!$S$7:$S$56,0)),"")</f>
        <v/>
      </c>
      <c r="H27" s="25">
        <f>IFERROR(INDEX(Stromkreisliste!$B$7:$B$56,MATCH("8-7",Stromkreisliste!$S$7:$S$56,0))&amp;CHAR(10)&amp;INDEX(Stromkreisliste!$R$7:$R$56,MATCH("8-7",Stromkreisliste!$S$7:$S$56,0)),"")</f>
        <v/>
      </c>
      <c r="I27" s="25">
        <f>IFERROR(INDEX(Stromkreisliste!$B$7:$B$56,MATCH("8-8",Stromkreisliste!$S$7:$S$56,0))&amp;CHAR(10)&amp;INDEX(Stromkreisliste!$R$7:$R$56,MATCH("8-8",Stromkreisliste!$S$7:$S$56,0)),"")</f>
        <v/>
      </c>
      <c r="J27" s="25">
        <f>IFERROR(INDEX(Stromkreisliste!$B$7:$B$56,MATCH("8-9",Stromkreisliste!$S$7:$S$56,0))&amp;CHAR(10)&amp;INDEX(Stromkreisliste!$R$7:$R$56,MATCH("8-9",Stromkreisliste!$S$7:$S$56,0)),"")</f>
        <v/>
      </c>
      <c r="K27" s="25">
        <f>IFERROR(INDEX(Stromkreisliste!$B$7:$B$56,MATCH("8-10",Stromkreisliste!$S$7:$S$56,0))&amp;CHAR(10)&amp;INDEX(Stromkreisliste!$R$7:$R$56,MATCH("8-10",Stromkreisliste!$S$7:$S$56,0)),"")</f>
        <v/>
      </c>
      <c r="L27" s="25">
        <f>IFERROR(INDEX(Stromkreisliste!$B$7:$B$56,MATCH("8-11",Stromkreisliste!$S$7:$S$56,0))&amp;CHAR(10)&amp;INDEX(Stromkreisliste!$R$7:$R$56,MATCH("8-11",Stromkreisliste!$S$7:$S$56,0)),"")</f>
        <v/>
      </c>
      <c r="M27" s="25">
        <f>IFERROR(INDEX(Stromkreisliste!$B$7:$B$56,MATCH("8-12",Stromkreisliste!$S$7:$S$56,0))&amp;CHAR(10)&amp;INDEX(Stromkreisliste!$R$7:$R$56,MATCH("8-12",Stromkreisliste!$S$7:$S$56,0)),"")</f>
        <v/>
      </c>
    </row>
    <row r="28" ht="8" customHeight="1"/>
  </sheetData>
  <mergeCells count="1">
    <mergeCell ref="B3:M3"/>
  </mergeCells>
  <printOptions horizontalCentered="0"/>
  <pageMargins left="0.4" right="0.4" top="0.4" bottom="0.6" header="0.2" footer="0.3"/>
  <pageSetup orientation="landscape" paperSize="9" scale="100"/>
  <headerFooter>
    <oddHeader/>
    <oddFooter>&amp;L&amp;"Arial,Regular"&amp;7 &amp;K6E6A66Muster Elektrotechnik GmbH · Max Mustermann, Elektrotechnikermeister · 0123 456789 · info@muster-elektro.de&amp;R&amp;"Arial,Regular"&amp;7 &amp;K6E6A66Seite &amp;P von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5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12" customWidth="1" min="3" max="3"/>
    <col width="30" customWidth="1" min="4" max="4"/>
  </cols>
  <sheetData>
    <row r="1" ht="30" customHeight="1">
      <c r="A1" s="1" t="inlineStr">
        <is>
          <t>Prüfbericht</t>
        </is>
      </c>
    </row>
    <row r="2" ht="16" customHeight="1">
      <c r="A2" s="2" t="inlineStr">
        <is>
          <t>Prüfung elektrischer Anlagen nach DIN VDE 0100-600 bzw. DIN VDE 0105-100</t>
        </is>
      </c>
    </row>
    <row r="3" ht="8" customHeight="1">
      <c r="A3" s="3" t="n"/>
      <c r="B3" s="3" t="n"/>
      <c r="C3" s="3" t="n"/>
      <c r="D3" s="3" t="n"/>
    </row>
    <row r="5" ht="20" customHeight="1">
      <c r="A5" s="4" t="inlineStr">
        <is>
          <t>ANLAGE</t>
        </is>
      </c>
      <c r="B5" s="48" t="n"/>
      <c r="C5" s="48" t="n"/>
      <c r="D5" s="48" t="n"/>
    </row>
    <row r="6" ht="18" customHeight="1">
      <c r="A6" s="8" t="inlineStr">
        <is>
          <t>Auftraggeber / Betreiber</t>
        </is>
      </c>
      <c r="B6" s="14">
        <f>IF(Anlage!B7="","",Anlage!B7)</f>
        <v/>
      </c>
      <c r="C6" s="8" t="inlineStr">
        <is>
          <t>Auftrags-Nr.</t>
        </is>
      </c>
      <c r="D6" s="14">
        <f>IF(Anlage!B9="","",Anlage!B9)</f>
        <v/>
      </c>
    </row>
    <row r="7" ht="18" customHeight="1">
      <c r="A7" s="8" t="inlineStr">
        <is>
          <t>Anlagenanschrift</t>
        </is>
      </c>
      <c r="B7" s="14">
        <f>IF(Anlage!B8="","",Anlage!B8)</f>
        <v/>
      </c>
      <c r="C7" s="10" t="n"/>
      <c r="D7" s="11" t="n"/>
    </row>
    <row r="8" ht="18" customHeight="1">
      <c r="A8" s="8" t="inlineStr">
        <is>
          <t>Verteiler</t>
        </is>
      </c>
      <c r="B8" s="14">
        <f>IF(Anlage!B12="","",Anlage!B12)</f>
        <v/>
      </c>
      <c r="C8" s="8" t="inlineStr">
        <is>
          <t>Standort</t>
        </is>
      </c>
      <c r="D8" s="14">
        <f>IF(Anlage!D12="","",Anlage!D12)</f>
        <v/>
      </c>
    </row>
    <row r="9" ht="18" customHeight="1">
      <c r="A9" s="8" t="inlineStr">
        <is>
          <t>Netzsystem</t>
        </is>
      </c>
      <c r="B9" s="14">
        <f>IF(Anlage!B18="","",Anlage!B18)</f>
        <v/>
      </c>
      <c r="C9" s="8" t="inlineStr">
        <is>
          <t>Nennspannung</t>
        </is>
      </c>
      <c r="D9" s="14">
        <f>IF(Anlage!D18="","",Anlage!D18)</f>
        <v/>
      </c>
    </row>
    <row r="11" ht="20" customHeight="1">
      <c r="A11" s="4" t="inlineStr">
        <is>
          <t>PRÜFUNG</t>
        </is>
      </c>
      <c r="B11" s="48" t="n"/>
      <c r="C11" s="48" t="n"/>
      <c r="D11" s="48" t="n"/>
    </row>
    <row r="12" ht="18" customHeight="1">
      <c r="A12" s="8" t="inlineStr">
        <is>
          <t>Prüfart</t>
        </is>
      </c>
      <c r="B12" s="9" t="n"/>
      <c r="C12" s="10" t="n"/>
      <c r="D12" s="11" t="n"/>
    </row>
    <row r="13" ht="18" customHeight="1">
      <c r="A13" s="8" t="inlineStr">
        <is>
          <t>Prüfdatum</t>
        </is>
      </c>
      <c r="B13" s="12" t="n"/>
      <c r="C13" s="8" t="inlineStr">
        <is>
          <t>Prüfer</t>
        </is>
      </c>
      <c r="D13" s="14">
        <f>IF(Anlage!B26="","",Anlage!B26)</f>
        <v/>
      </c>
    </row>
    <row r="14" ht="18" customHeight="1">
      <c r="A14" s="8" t="inlineStr">
        <is>
          <t>Messgerät (Hersteller, Typ)</t>
        </is>
      </c>
      <c r="B14" s="9" t="n"/>
      <c r="C14" s="8" t="inlineStr">
        <is>
          <t>Seriennummer</t>
        </is>
      </c>
      <c r="D14" s="9" t="n"/>
    </row>
    <row r="15" ht="18" customHeight="1">
      <c r="A15" s="8" t="inlineStr">
        <is>
          <t>Kalibriert bis</t>
        </is>
      </c>
      <c r="B15" s="12" t="n"/>
      <c r="C15" s="8" t="inlineStr">
        <is>
          <t>Erdungswiderst. RA</t>
        </is>
      </c>
      <c r="D15" s="14">
        <f>IF(Anlage!D20="","",Anlage!D20&amp;" Ω")</f>
        <v/>
      </c>
    </row>
    <row r="17" ht="18" customHeight="1">
      <c r="A17" s="26" t="inlineStr">
        <is>
          <t>1  Besichtigen</t>
        </is>
      </c>
      <c r="B17" s="11" t="n"/>
      <c r="C17" s="27" t="inlineStr">
        <is>
          <t>Ergebnis</t>
        </is>
      </c>
      <c r="D17" s="26" t="inlineStr">
        <is>
          <t>Bemerkung</t>
        </is>
      </c>
    </row>
    <row r="18" ht="26" customHeight="1">
      <c r="A18" s="28" t="inlineStr">
        <is>
          <t>Auswahl der Betriebsmittel passend zu den äußeren Einflüssen (Schutzart, Brandschutz)</t>
        </is>
      </c>
      <c r="B18" s="11" t="n"/>
      <c r="C18" s="29" t="n"/>
      <c r="D18" s="9" t="n"/>
    </row>
    <row r="19" ht="26" customHeight="1">
      <c r="A19" s="28" t="inlineStr">
        <is>
          <t>Basisschutz: Abdeckungen, Isolierungen und Gehäuse vollständig und unbeschädigt</t>
        </is>
      </c>
      <c r="B19" s="11" t="n"/>
      <c r="C19" s="29" t="n"/>
      <c r="D19" s="9" t="n"/>
    </row>
    <row r="20" ht="16" customHeight="1">
      <c r="A20" s="28" t="inlineStr">
        <is>
          <t>Leiterquerschnitte und Schutzeinrichtungen richtig zugeordnet</t>
        </is>
      </c>
      <c r="B20" s="11" t="n"/>
      <c r="C20" s="29" t="n"/>
      <c r="D20" s="9" t="n"/>
    </row>
    <row r="21" ht="26" customHeight="1">
      <c r="A21" s="28" t="inlineStr">
        <is>
          <t>Kennzeichnung von Stromkreisen, Schutzeinrichtungen und Leitern (N blau, PE grün-gelb)</t>
        </is>
      </c>
      <c r="B21" s="11" t="n"/>
      <c r="C21" s="29" t="n"/>
      <c r="D21" s="9" t="n"/>
    </row>
    <row r="22" ht="16" customHeight="1">
      <c r="A22" s="28" t="inlineStr">
        <is>
          <t>Verteiler zugänglich, Bedienung und Beschriftung in Ordnung</t>
        </is>
      </c>
      <c r="B22" s="11" t="n"/>
      <c r="C22" s="29" t="n"/>
      <c r="D22" s="9" t="n"/>
    </row>
    <row r="23" ht="16" customHeight="1">
      <c r="A23" s="28" t="inlineStr">
        <is>
          <t>Leitungsverlegung, Befestigung und mechanischer Schutz</t>
        </is>
      </c>
      <c r="B23" s="11" t="n"/>
      <c r="C23" s="29" t="n"/>
      <c r="D23" s="9" t="n"/>
    </row>
    <row r="24" ht="16" customHeight="1">
      <c r="A24" s="28" t="inlineStr">
        <is>
          <t>Klemmstellen fest, Leiterverbindungen fachgerecht</t>
        </is>
      </c>
      <c r="B24" s="11" t="n"/>
      <c r="C24" s="29" t="n"/>
      <c r="D24" s="9" t="n"/>
    </row>
    <row r="25" ht="26" customHeight="1">
      <c r="A25" s="28" t="inlineStr">
        <is>
          <t>Schutzpotentialausgleich (Haupt- und zusätzlicher) vorhanden und angeschlossen</t>
        </is>
      </c>
      <c r="B25" s="11" t="n"/>
      <c r="C25" s="29" t="n"/>
      <c r="D25" s="9" t="n"/>
    </row>
    <row r="26" ht="16" customHeight="1">
      <c r="A26" s="28" t="inlineStr">
        <is>
          <t>Brandabschottungen bei Durchführungen</t>
        </is>
      </c>
      <c r="B26" s="11" t="n"/>
      <c r="C26" s="29" t="n"/>
      <c r="D26" s="9" t="n"/>
    </row>
    <row r="27" ht="26" customHeight="1">
      <c r="A27" s="28" t="inlineStr">
        <is>
          <t>Zusätzlicher Schutz durch RCD ≤ 30 mA, wo gefordert (Steckdosen ≤ 32 A, Beleuchtung in Wohnungen, außen)</t>
        </is>
      </c>
      <c r="B27" s="11" t="n"/>
      <c r="C27" s="29" t="n"/>
      <c r="D27" s="9" t="n"/>
    </row>
    <row r="28" ht="16" customHeight="1">
      <c r="A28" s="28" t="inlineStr">
        <is>
          <t>Überspannungsschutz, wo gefordert</t>
        </is>
      </c>
      <c r="B28" s="11" t="n"/>
      <c r="C28" s="29" t="n"/>
      <c r="D28" s="9" t="n"/>
    </row>
    <row r="29" ht="16" customHeight="1">
      <c r="A29" s="28" t="inlineStr">
        <is>
          <t>Dokumentation vorhanden (Stromkreisliste, Pläne)</t>
        </is>
      </c>
      <c r="B29" s="11" t="n"/>
      <c r="C29" s="29" t="n"/>
      <c r="D29" s="9" t="n"/>
    </row>
    <row r="30" ht="18" customHeight="1">
      <c r="A30" s="26" t="inlineStr">
        <is>
          <t>2  Erproben</t>
        </is>
      </c>
      <c r="B30" s="11" t="n"/>
      <c r="C30" s="27" t="inlineStr">
        <is>
          <t>Ergebnis</t>
        </is>
      </c>
      <c r="D30" s="26" t="inlineStr">
        <is>
          <t>Bemerkung</t>
        </is>
      </c>
    </row>
    <row r="31" ht="16" customHeight="1">
      <c r="A31" s="28" t="inlineStr">
        <is>
          <t>Funktion der Fehlerstrom-Schutzeinrichtungen (Prüftaste)</t>
        </is>
      </c>
      <c r="B31" s="11" t="n"/>
      <c r="C31" s="29" t="n"/>
      <c r="D31" s="9" t="n"/>
    </row>
    <row r="32" ht="16" customHeight="1">
      <c r="A32" s="28" t="inlineStr">
        <is>
          <t>Funktion von Schalt-, Steuer- und Verriegelungseinrichtungen</t>
        </is>
      </c>
      <c r="B32" s="11" t="n"/>
      <c r="C32" s="29" t="n"/>
      <c r="D32" s="9" t="n"/>
    </row>
    <row r="33" ht="16" customHeight="1">
      <c r="A33" s="28" t="inlineStr">
        <is>
          <t>Hauptschalter / Not-Aus</t>
        </is>
      </c>
      <c r="B33" s="11" t="n"/>
      <c r="C33" s="29" t="n"/>
      <c r="D33" s="9" t="n"/>
    </row>
    <row r="34" ht="16" customHeight="1">
      <c r="A34" s="28" t="inlineStr">
        <is>
          <t>Funktion von Beleuchtung und Steckdosen (Stichprobe)</t>
        </is>
      </c>
      <c r="B34" s="11" t="n"/>
      <c r="C34" s="29" t="n"/>
      <c r="D34" s="9" t="n"/>
    </row>
    <row r="35" ht="18" customHeight="1">
      <c r="A35" s="26" t="inlineStr">
        <is>
          <t>3  Messen – Werte siehe Messprotokoll</t>
        </is>
      </c>
      <c r="B35" s="11" t="n"/>
      <c r="C35" s="27" t="inlineStr">
        <is>
          <t>Ergebnis</t>
        </is>
      </c>
      <c r="D35" s="26" t="inlineStr">
        <is>
          <t>Bemerkung</t>
        </is>
      </c>
    </row>
    <row r="36" ht="16" customHeight="1">
      <c r="A36" s="28" t="inlineStr">
        <is>
          <t>Durchgängigkeit der Schutzleiter und des Potentialausgleichs (RPE)</t>
        </is>
      </c>
      <c r="B36" s="11" t="n"/>
      <c r="C36" s="29" t="n"/>
      <c r="D36" s="9" t="n"/>
    </row>
    <row r="37" ht="16" customHeight="1">
      <c r="A37" s="28" t="inlineStr">
        <is>
          <t>Isolationswiderstand (Riso)</t>
        </is>
      </c>
      <c r="B37" s="11" t="n"/>
      <c r="C37" s="30">
        <f>IF(COUNT(Messprotokoll!$F$7:$G$56)=0,"",IF(SUM(Messprotokoll!$R$7:$R$56)&gt;0,"n.i.O.","i.O."))</f>
        <v/>
      </c>
      <c r="D37" s="31">
        <f>IF(COUNT(Messprotokoll!$F$7:$F$56)=0,"",COUNT(Messprotokoll!$F$7:$F$56)&amp;" Stromkreise gemessen")</f>
        <v/>
      </c>
    </row>
    <row r="38" ht="16" customHeight="1">
      <c r="A38" s="28" t="inlineStr">
        <is>
          <t>Schleifenimpedanz / Abschaltbedingung (Zs)</t>
        </is>
      </c>
      <c r="B38" s="11" t="n"/>
      <c r="C38" s="30">
        <f>IF(COUNT(Messprotokoll!$I$7:$I$56)=0,"",IF(SUM(Messprotokoll!$S$7:$S$56)&gt;0,"n.i.O.","i.O."))</f>
        <v/>
      </c>
      <c r="D38" s="31">
        <f>IF(COUNT(Messprotokoll!$I$7:$I$56)=0,"",COUNT(Messprotokoll!$I$7:$I$56)&amp;" Stromkreise gemessen")</f>
        <v/>
      </c>
    </row>
    <row r="39" ht="16" customHeight="1">
      <c r="A39" s="28" t="inlineStr">
        <is>
          <t>Fehlerstrom-Schutzeinrichtungen (IΔ, tA, UB)</t>
        </is>
      </c>
      <c r="B39" s="11" t="n"/>
      <c r="C39" s="30">
        <f>IF(COUNT(Messprotokoll!$L$7:$N$56)=0,"",IF(SUM(Messprotokoll!$T$7:$T$56)&gt;0,"n.i.O.","i.O."))</f>
        <v/>
      </c>
      <c r="D39" s="31">
        <f>IF(COUNT(Messprotokoll!$M$7:$M$56)=0,"",COUNT(Messprotokoll!$M$7:$M$56)&amp;" FI gemessen")</f>
        <v/>
      </c>
    </row>
    <row r="40" ht="16" customHeight="1">
      <c r="A40" s="28" t="inlineStr">
        <is>
          <t>Drehfeld der Drehstromsteckdosen</t>
        </is>
      </c>
      <c r="B40" s="11" t="n"/>
      <c r="C40" s="30">
        <f>IF(COUNTA(Messprotokoll!$O$7:$O$56)=0,"",IF(SUM(Messprotokoll!$U$7:$U$56)&gt;0,"n.i.O.","i.O."))</f>
        <v/>
      </c>
      <c r="D40" s="9" t="n"/>
    </row>
    <row r="41" ht="16" customHeight="1">
      <c r="A41" s="28" t="inlineStr">
        <is>
          <t>Erdungswiderstand (bei TT-System)</t>
        </is>
      </c>
      <c r="B41" s="11" t="n"/>
      <c r="C41" s="29" t="n"/>
      <c r="D41" s="9" t="n"/>
    </row>
    <row r="43" ht="20" customHeight="1">
      <c r="A43" s="4" t="inlineStr">
        <is>
          <t>MÄNGEL UND HINWEISE</t>
        </is>
      </c>
      <c r="B43" s="48" t="n"/>
      <c r="C43" s="48" t="n"/>
      <c r="D43" s="48" t="n"/>
    </row>
    <row r="44" ht="18" customHeight="1">
      <c r="A44" s="9" t="n"/>
      <c r="B44" s="10" t="n"/>
      <c r="C44" s="10" t="n"/>
      <c r="D44" s="11" t="n"/>
    </row>
    <row r="45" ht="18" customHeight="1">
      <c r="A45" s="9" t="n"/>
      <c r="B45" s="10" t="n"/>
      <c r="C45" s="10" t="n"/>
      <c r="D45" s="11" t="n"/>
    </row>
    <row r="46" ht="18" customHeight="1">
      <c r="A46" s="9" t="n"/>
      <c r="B46" s="10" t="n"/>
      <c r="C46" s="10" t="n"/>
      <c r="D46" s="11" t="n"/>
    </row>
    <row r="47" ht="18" customHeight="1">
      <c r="A47" s="9" t="n"/>
      <c r="B47" s="10" t="n"/>
      <c r="C47" s="10" t="n"/>
      <c r="D47" s="11" t="n"/>
    </row>
    <row r="49" ht="20" customHeight="1">
      <c r="A49" s="4" t="inlineStr">
        <is>
          <t>ERGEBNIS</t>
        </is>
      </c>
      <c r="B49" s="48" t="n"/>
      <c r="C49" s="48" t="n"/>
      <c r="D49" s="48" t="n"/>
    </row>
    <row r="50" ht="22" customHeight="1">
      <c r="A50" s="8" t="inlineStr">
        <is>
          <t>Gesamtergebnis</t>
        </is>
      </c>
      <c r="B50" s="32" t="n"/>
      <c r="C50" s="10" t="n"/>
      <c r="D50" s="11" t="n"/>
    </row>
    <row r="51">
      <c r="B51" s="33">
        <f>IF(COUNTIF(C18:C41,"n.i.O.")&gt;0,"Achtung: mindestens ein Prüfpunkt ist „n.i.O.“ – Gesamtergebnis prüfen.","")</f>
        <v/>
      </c>
    </row>
    <row r="52" ht="18" customHeight="1">
      <c r="A52" s="8" t="inlineStr">
        <is>
          <t>Nächste Prüfung empfohlen</t>
        </is>
      </c>
      <c r="B52" s="34">
        <f>IF(B13="","",EDATE(B13,48))</f>
        <v/>
      </c>
      <c r="C52" s="8" t="inlineStr">
        <is>
          <t>Prüfplakette</t>
        </is>
      </c>
      <c r="D52" s="9" t="n"/>
    </row>
    <row r="53" ht="30" customHeight="1"/>
    <row r="54" ht="4" customHeight="1">
      <c r="A54" s="35" t="n"/>
      <c r="B54" s="35" t="n"/>
      <c r="D54" s="35" t="n"/>
    </row>
    <row r="55">
      <c r="A55" s="36" t="inlineStr">
        <is>
          <t>Ort, Datum</t>
        </is>
      </c>
      <c r="D55" s="36" t="inlineStr">
        <is>
          <t>Unterschrift Prüfer (Elektrofachkraft)</t>
        </is>
      </c>
    </row>
  </sheetData>
  <mergeCells count="37">
    <mergeCell ref="A5:D5"/>
    <mergeCell ref="A24:B24"/>
    <mergeCell ref="A30:B30"/>
    <mergeCell ref="A36:B36"/>
    <mergeCell ref="A43:D43"/>
    <mergeCell ref="A44:D44"/>
    <mergeCell ref="A25:B25"/>
    <mergeCell ref="A41:B41"/>
    <mergeCell ref="A37:B37"/>
    <mergeCell ref="A11:D11"/>
    <mergeCell ref="A18:B18"/>
    <mergeCell ref="A27:B27"/>
    <mergeCell ref="A49:D49"/>
    <mergeCell ref="B51:D51"/>
    <mergeCell ref="A45:D45"/>
    <mergeCell ref="A26:B26"/>
    <mergeCell ref="A21:B21"/>
    <mergeCell ref="A33:B33"/>
    <mergeCell ref="B50:D50"/>
    <mergeCell ref="A32:B32"/>
    <mergeCell ref="A23:B23"/>
    <mergeCell ref="A17:B17"/>
    <mergeCell ref="B7:D7"/>
    <mergeCell ref="A46:D46"/>
    <mergeCell ref="A22:B22"/>
    <mergeCell ref="A35:B35"/>
    <mergeCell ref="A20:B20"/>
    <mergeCell ref="A38:B38"/>
    <mergeCell ref="A29:B29"/>
    <mergeCell ref="A19:B19"/>
    <mergeCell ref="A28:B28"/>
    <mergeCell ref="A40:B40"/>
    <mergeCell ref="B12:D12"/>
    <mergeCell ref="A47:D47"/>
    <mergeCell ref="A31:B31"/>
    <mergeCell ref="A39:B39"/>
    <mergeCell ref="A34:B34"/>
  </mergeCells>
  <conditionalFormatting sqref="C18:C41">
    <cfRule type="cellIs" priority="1" operator="equal" dxfId="2">
      <formula>"n.i.O."</formula>
    </cfRule>
    <cfRule type="cellIs" priority="2" operator="equal" dxfId="3">
      <formula>"i.O."</formula>
    </cfRule>
  </conditionalFormatting>
  <dataValidations count="21">
    <dataValidation sqref="B12" showDropDown="0" showInputMessage="0" showErrorMessage="0" allowBlank="1" type="list">
      <formula1>"Erstprüfung nach DIN VDE 0100-600,Wiederholungsprüfung nach DIN VDE 0105-100,Prüfung nach Änderung / Erweiterung (DIN VDE 0100-600)"</formula1>
    </dataValidation>
    <dataValidation sqref="C18" showDropDown="0" showInputMessage="0" showErrorMessage="0" allowBlank="1" type="list">
      <formula1>"i.O.,n.i.O.,entfällt"</formula1>
    </dataValidation>
    <dataValidation sqref="C19" showDropDown="0" showInputMessage="0" showErrorMessage="0" allowBlank="1" type="list">
      <formula1>"i.O.,n.i.O.,entfällt"</formula1>
    </dataValidation>
    <dataValidation sqref="C20" showDropDown="0" showInputMessage="0" showErrorMessage="0" allowBlank="1" type="list">
      <formula1>"i.O.,n.i.O.,entfällt"</formula1>
    </dataValidation>
    <dataValidation sqref="C21" showDropDown="0" showInputMessage="0" showErrorMessage="0" allowBlank="1" type="list">
      <formula1>"i.O.,n.i.O.,entfällt"</formula1>
    </dataValidation>
    <dataValidation sqref="C22" showDropDown="0" showInputMessage="0" showErrorMessage="0" allowBlank="1" type="list">
      <formula1>"i.O.,n.i.O.,entfällt"</formula1>
    </dataValidation>
    <dataValidation sqref="C23" showDropDown="0" showInputMessage="0" showErrorMessage="0" allowBlank="1" type="list">
      <formula1>"i.O.,n.i.O.,entfällt"</formula1>
    </dataValidation>
    <dataValidation sqref="C24" showDropDown="0" showInputMessage="0" showErrorMessage="0" allowBlank="1" type="list">
      <formula1>"i.O.,n.i.O.,entfällt"</formula1>
    </dataValidation>
    <dataValidation sqref="C25" showDropDown="0" showInputMessage="0" showErrorMessage="0" allowBlank="1" type="list">
      <formula1>"i.O.,n.i.O.,entfällt"</formula1>
    </dataValidation>
    <dataValidation sqref="C26" showDropDown="0" showInputMessage="0" showErrorMessage="0" allowBlank="1" type="list">
      <formula1>"i.O.,n.i.O.,entfällt"</formula1>
    </dataValidation>
    <dataValidation sqref="C27" showDropDown="0" showInputMessage="0" showErrorMessage="0" allowBlank="1" type="list">
      <formula1>"i.O.,n.i.O.,entfällt"</formula1>
    </dataValidation>
    <dataValidation sqref="C28" showDropDown="0" showInputMessage="0" showErrorMessage="0" allowBlank="1" type="list">
      <formula1>"i.O.,n.i.O.,entfällt"</formula1>
    </dataValidation>
    <dataValidation sqref="C29" showDropDown="0" showInputMessage="0" showErrorMessage="0" allowBlank="1" type="list">
      <formula1>"i.O.,n.i.O.,entfällt"</formula1>
    </dataValidation>
    <dataValidation sqref="C31" showDropDown="0" showInputMessage="0" showErrorMessage="0" allowBlank="1" type="list">
      <formula1>"i.O.,n.i.O.,entfällt"</formula1>
    </dataValidation>
    <dataValidation sqref="C32" showDropDown="0" showInputMessage="0" showErrorMessage="0" allowBlank="1" type="list">
      <formula1>"i.O.,n.i.O.,entfällt"</formula1>
    </dataValidation>
    <dataValidation sqref="C33" showDropDown="0" showInputMessage="0" showErrorMessage="0" allowBlank="1" type="list">
      <formula1>"i.O.,n.i.O.,entfällt"</formula1>
    </dataValidation>
    <dataValidation sqref="C34" showDropDown="0" showInputMessage="0" showErrorMessage="0" allowBlank="1" type="list">
      <formula1>"i.O.,n.i.O.,entfällt"</formula1>
    </dataValidation>
    <dataValidation sqref="C36" showDropDown="0" showInputMessage="0" showErrorMessage="0" allowBlank="1" type="list">
      <formula1>"i.O.,n.i.O.,entfällt"</formula1>
    </dataValidation>
    <dataValidation sqref="C41" showDropDown="0" showInputMessage="0" showErrorMessage="0" allowBlank="1" type="list">
      <formula1>"i.O.,n.i.O.,entfällt"</formula1>
    </dataValidation>
    <dataValidation sqref="B50" showDropDown="0" showInputMessage="0" showErrorMessage="0" allowBlank="1" type="list">
      <formula1>"Keine Mängel – die Anlage entspricht den anerkannten Regeln der Elektrotechnik,Mängel festgestellt – Beseitigung erforderlich,Gefährliche Mängel – Anlage(nteil) außer Betrieb genommen"</formula1>
    </dataValidation>
    <dataValidation sqref="D52" showDropDown="0" showInputMessage="0" showErrorMessage="0" allowBlank="1" type="list">
      <formula1>"angebracht,nicht angebracht"</formula1>
    </dataValidation>
  </dataValidations>
  <printOptions horizontalCentered="1"/>
  <pageMargins left="0.5" right="0.5" top="0.55" bottom="0.65" header="0.25" footer="0.3"/>
  <pageSetup orientation="portrait" paperSize="9" fitToHeight="1" fitToWidth="1"/>
  <headerFooter>
    <oddHeader/>
    <oddFooter>&amp;L&amp;"Arial,Regular"&amp;7 &amp;K6E6A66Muster Elektrotechnik GmbH · Max Mustermann, Elektrotechnikermeister · 0123 456789 · info@muster-elektro.de&amp;R&amp;"Arial,Regular"&amp;7 &amp;K6E6A66Seite &amp;P von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U59"/>
  <sheetViews>
    <sheetView showGridLines="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7" customWidth="1" min="2" max="2"/>
    <col width="28" customWidth="1" min="3" max="3"/>
    <col width="13" customWidth="1" min="4" max="4"/>
    <col width="12" customWidth="1" min="5" max="5"/>
    <col width="8" customWidth="1" min="6" max="6"/>
    <col width="8" customWidth="1" min="7" max="7"/>
    <col width="7" customWidth="1" min="8" max="8"/>
    <col width="7.5" customWidth="1" min="9" max="9"/>
    <col width="7" customWidth="1" min="10" max="10"/>
    <col width="7.5" customWidth="1" min="11" max="11"/>
    <col width="7" customWidth="1" min="12" max="12"/>
    <col width="7" customWidth="1" min="13" max="13"/>
    <col width="6.5" customWidth="1" min="14" max="14"/>
    <col width="7.5" customWidth="1" min="15" max="15"/>
    <col width="8.5" customWidth="1" min="16" max="16"/>
    <col width="20" customWidth="1" min="17" max="17"/>
    <col hidden="1" width="4" customWidth="1" min="18" max="18"/>
    <col hidden="1" width="4" customWidth="1" min="19" max="19"/>
    <col hidden="1" width="4" customWidth="1" min="20" max="20"/>
    <col hidden="1" width="4" customWidth="1" min="21" max="21"/>
  </cols>
  <sheetData>
    <row r="1" ht="30" customHeight="1">
      <c r="A1" s="1" t="inlineStr">
        <is>
          <t>Messprotokoll</t>
        </is>
      </c>
    </row>
    <row r="2" ht="16" customHeight="1">
      <c r="A2" s="2" t="inlineStr">
        <is>
          <t>Messwerte je Stromkreis · Muster Elektrotechnik GmbH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8" customHeight="1">
      <c r="A4" s="8" t="inlineStr">
        <is>
          <t>Verteiler</t>
        </is>
      </c>
      <c r="B4" s="11" t="n"/>
      <c r="C4" s="15">
        <f>IF(Anlage!B12="","",Anlage!B12&amp;IF(Anlage!D12="",""," · "&amp;Anlage!D12))</f>
        <v/>
      </c>
      <c r="D4" s="8" t="inlineStr">
        <is>
          <t>Objekt</t>
        </is>
      </c>
      <c r="E4" s="14">
        <f>IF(Anlage!B8="","",Anlage!B8)</f>
        <v/>
      </c>
      <c r="F4" s="10" t="n"/>
      <c r="G4" s="10" t="n"/>
      <c r="H4" s="10" t="n"/>
      <c r="I4" s="10" t="n"/>
      <c r="J4" s="11" t="n"/>
      <c r="K4" s="8" t="inlineStr">
        <is>
          <t>Datum</t>
        </is>
      </c>
      <c r="L4" s="11" t="n"/>
      <c r="M4" s="16">
        <f>IF('Prüfbericht'!B13="","",'Prüfbericht'!B13)</f>
        <v/>
      </c>
      <c r="N4" s="11" t="n"/>
      <c r="O4" s="8" t="inlineStr">
        <is>
          <t>Gerät</t>
        </is>
      </c>
      <c r="P4" s="14">
        <f>IF('Prüfbericht'!B14="","",'Prüfbericht'!B14)</f>
        <v/>
      </c>
      <c r="Q4" s="11" t="n"/>
    </row>
    <row r="5" ht="26" customHeight="1">
      <c r="A5" s="8" t="inlineStr">
        <is>
          <t>Grenzwerte</t>
        </is>
      </c>
      <c r="B5" s="11" t="n"/>
      <c r="C5" s="37" t="inlineStr">
        <is>
          <t>Nennspannung U0 (V)</t>
        </is>
      </c>
      <c r="D5" s="29" t="n">
        <v>230</v>
      </c>
      <c r="E5" s="37" t="inlineStr">
        <is>
          <t>Riso min (MΩ)</t>
        </is>
      </c>
      <c r="F5" s="29" t="n">
        <v>1</v>
      </c>
      <c r="G5" s="37" t="inlineStr">
        <is>
          <t>Faktor Zs</t>
        </is>
      </c>
      <c r="H5" s="38">
        <f>2/3</f>
        <v/>
      </c>
      <c r="I5" s="37" t="inlineStr">
        <is>
          <t>tA max (ms)</t>
        </is>
      </c>
      <c r="J5" s="29" t="n">
        <v>300</v>
      </c>
      <c r="K5" s="37" t="inlineStr">
        <is>
          <t>UB max (V)</t>
        </is>
      </c>
      <c r="L5" s="29" t="n">
        <v>50</v>
      </c>
      <c r="M5" s="39" t="inlineStr">
        <is>
          <t>Zs max = Faktor × U0 / Ia  ·  Ia: B = 5·In, C = 10·In, D = 20·In, K = 14·In, Z = 3·In. Bewertung ist eine Hilfe – maßgeblich sind Norm und Herstellerangaben.</t>
        </is>
      </c>
    </row>
    <row r="6" ht="34" customHeight="1">
      <c r="A6" s="17" t="inlineStr">
        <is>
          <t>Nr.</t>
        </is>
      </c>
      <c r="B6" s="17" t="inlineStr">
        <is>
          <t>BMK</t>
        </is>
      </c>
      <c r="C6" s="17" t="inlineStr">
        <is>
          <t>Stromkreis / Verbraucher</t>
        </is>
      </c>
      <c r="D6" s="17" t="inlineStr">
        <is>
          <t>Schutzorgan</t>
        </is>
      </c>
      <c r="E6" s="17" t="inlineStr">
        <is>
          <t>Leitung</t>
        </is>
      </c>
      <c r="F6" s="17" t="inlineStr">
        <is>
          <t>Riso L–PE (MΩ)</t>
        </is>
      </c>
      <c r="G6" s="17" t="inlineStr">
        <is>
          <t>Riso N–PE (MΩ)</t>
        </is>
      </c>
      <c r="H6" s="17" t="inlineStr">
        <is>
          <t>RPE (Ω)</t>
        </is>
      </c>
      <c r="I6" s="17" t="inlineStr">
        <is>
          <t>Zs L–PE (Ω)</t>
        </is>
      </c>
      <c r="J6" s="17" t="inlineStr">
        <is>
          <t>Ik (A)</t>
        </is>
      </c>
      <c r="K6" s="17" t="inlineStr">
        <is>
          <t>Zs max (Ω)</t>
        </is>
      </c>
      <c r="L6" s="17" t="inlineStr">
        <is>
          <t>IΔ (mA)</t>
        </is>
      </c>
      <c r="M6" s="17" t="inlineStr">
        <is>
          <t>tA (ms)</t>
        </is>
      </c>
      <c r="N6" s="17" t="inlineStr">
        <is>
          <t>UB (V)</t>
        </is>
      </c>
      <c r="O6" s="17" t="inlineStr">
        <is>
          <t>Dreh-feld</t>
        </is>
      </c>
      <c r="P6" s="17" t="inlineStr">
        <is>
          <t>Ergebnis</t>
        </is>
      </c>
      <c r="Q6" s="17" t="inlineStr">
        <is>
          <t>Bemerkung</t>
        </is>
      </c>
      <c r="R6" s="40" t="inlineStr">
        <is>
          <t>Riso</t>
        </is>
      </c>
      <c r="S6" s="40" t="inlineStr">
        <is>
          <t>Zs</t>
        </is>
      </c>
      <c r="T6" s="40" t="inlineStr">
        <is>
          <t>FI</t>
        </is>
      </c>
      <c r="U6" s="40" t="inlineStr">
        <is>
          <t>Dreh</t>
        </is>
      </c>
    </row>
    <row r="7" ht="16" customHeight="1">
      <c r="A7" s="19">
        <f>IF(Stromkreisliste!B7="","",ROW()-6)</f>
        <v/>
      </c>
      <c r="B7" s="41">
        <f>IF(Stromkreisliste!B7="","",Stromkreisliste!B7)</f>
        <v/>
      </c>
      <c r="C7" s="42">
        <f>IF(Stromkreisliste!B7="","",Stromkreisliste!P7&amp;IF(AND(Stromkreisliste!P7&lt;&gt;"",Stromkreisliste!Q7&lt;&gt;"")," – ","")&amp;Stromkreisliste!Q7)</f>
        <v/>
      </c>
      <c r="D7" s="42">
        <f>IF(Stromkreisliste!B7="","",IF(Stromkreisliste!F7="FI/RCD","FI "&amp;Stromkreisliste!H7&amp;" A / "&amp;Stromkreisliste!K7&amp;" mA",IF(Stromkreisliste!F7="FI/LS (RCBO)","FI/LS "&amp;Stromkreisliste!G7&amp;Stromkreisliste!H7&amp;" / "&amp;Stromkreisliste!K7&amp;" mA",IF(Stromkreisliste!G7="",Stromkreisliste!F7&amp;IF(Stromkreisliste!H7="",""," "&amp;Stromkreisliste!H7&amp;" A"),Stromkreisliste!G7&amp;Stromkreisliste!H7))))</f>
        <v/>
      </c>
      <c r="E7" s="42">
        <f>IF(Stromkreisliste!B7="","",TRIM(Stromkreisliste!M7&amp;" "&amp;Stromkreisliste!N7))</f>
        <v/>
      </c>
      <c r="F7" s="43" t="n"/>
      <c r="G7" s="43" t="n"/>
      <c r="H7" s="43" t="n"/>
      <c r="I7" s="43" t="n"/>
      <c r="J7" s="44">
        <f>IF(N(I7)&gt;0,$D$5/I7,"")</f>
        <v/>
      </c>
      <c r="K7" s="45">
        <f>IF(OR(Stromkreisliste!B7="",N(Stromkreisliste!H7)=0),"",IFERROR($H$5*$D$5/(Stromkreisliste!H7*INDEX({5,10,20,14,3},MATCH(Stromkreisliste!G7,{"B","C","D","K","Z"},0))),""))</f>
        <v/>
      </c>
      <c r="L7" s="21" t="n"/>
      <c r="M7" s="21" t="n"/>
      <c r="N7" s="21" t="n"/>
      <c r="O7" s="21" t="n"/>
      <c r="P7" s="46">
        <f>IF(COUNTA(F7:I7,L7:O7)=0,"",IF(R7+S7+T7+U7&gt;0,"n.i.O.","i.O."))</f>
        <v/>
      </c>
      <c r="Q7" s="20" t="n"/>
      <c r="R7" s="47">
        <f>IF(OR(AND(ISNUMBER(F7),F7&lt;$F$5),AND(ISNUMBER(G7),G7&lt;$F$5)),1,0)</f>
        <v/>
      </c>
      <c r="S7" s="47">
        <f>IF(AND(ISNUMBER(I7),N(K7)&gt;0,I7&gt;N(K7)),1,0)</f>
        <v/>
      </c>
      <c r="T7" s="47">
        <f>IF(OR(AND(ISNUMBER(L7),N(Stromkreisliste!K7)&gt;0,OR(L7&gt;N(Stromkreisliste!K7),L7&lt;0.5*N(Stromkreisliste!K7))),AND(ISNUMBER(M7),M7&gt;$J$5),AND(ISNUMBER(N7),N7&gt;$L$5)),1,0)</f>
        <v/>
      </c>
      <c r="U7" s="47">
        <f>IF(O7="links",1,0)</f>
        <v/>
      </c>
    </row>
    <row r="8" ht="16" customHeight="1">
      <c r="A8" s="19">
        <f>IF(Stromkreisliste!B8="","",ROW()-6)</f>
        <v/>
      </c>
      <c r="B8" s="41">
        <f>IF(Stromkreisliste!B8="","",Stromkreisliste!B8)</f>
        <v/>
      </c>
      <c r="C8" s="42">
        <f>IF(Stromkreisliste!B8="","",Stromkreisliste!P8&amp;IF(AND(Stromkreisliste!P8&lt;&gt;"",Stromkreisliste!Q8&lt;&gt;"")," – ","")&amp;Stromkreisliste!Q8)</f>
        <v/>
      </c>
      <c r="D8" s="42">
        <f>IF(Stromkreisliste!B8="","",IF(Stromkreisliste!F8="FI/RCD","FI "&amp;Stromkreisliste!H8&amp;" A / "&amp;Stromkreisliste!K8&amp;" mA",IF(Stromkreisliste!F8="FI/LS (RCBO)","FI/LS "&amp;Stromkreisliste!G8&amp;Stromkreisliste!H8&amp;" / "&amp;Stromkreisliste!K8&amp;" mA",IF(Stromkreisliste!G8="",Stromkreisliste!F8&amp;IF(Stromkreisliste!H8="",""," "&amp;Stromkreisliste!H8&amp;" A"),Stromkreisliste!G8&amp;Stromkreisliste!H8))))</f>
        <v/>
      </c>
      <c r="E8" s="42">
        <f>IF(Stromkreisliste!B8="","",TRIM(Stromkreisliste!M8&amp;" "&amp;Stromkreisliste!N8))</f>
        <v/>
      </c>
      <c r="F8" s="43" t="n"/>
      <c r="G8" s="43" t="n"/>
      <c r="H8" s="43" t="n"/>
      <c r="I8" s="43" t="n"/>
      <c r="J8" s="44">
        <f>IF(N(I8)&gt;0,$D$5/I8,"")</f>
        <v/>
      </c>
      <c r="K8" s="45">
        <f>IF(OR(Stromkreisliste!B8="",N(Stromkreisliste!H8)=0),"",IFERROR($H$5*$D$5/(Stromkreisliste!H8*INDEX({5,10,20,14,3},MATCH(Stromkreisliste!G8,{"B","C","D","K","Z"},0))),""))</f>
        <v/>
      </c>
      <c r="L8" s="21" t="n"/>
      <c r="M8" s="21" t="n"/>
      <c r="N8" s="21" t="n"/>
      <c r="O8" s="21" t="n"/>
      <c r="P8" s="46">
        <f>IF(COUNTA(F8:I8,L8:O8)=0,"",IF(R8+S8+T8+U8&gt;0,"n.i.O.","i.O."))</f>
        <v/>
      </c>
      <c r="Q8" s="20" t="n"/>
      <c r="R8" s="47">
        <f>IF(OR(AND(ISNUMBER(F8),F8&lt;$F$5),AND(ISNUMBER(G8),G8&lt;$F$5)),1,0)</f>
        <v/>
      </c>
      <c r="S8" s="47">
        <f>IF(AND(ISNUMBER(I8),N(K8)&gt;0,I8&gt;N(K8)),1,0)</f>
        <v/>
      </c>
      <c r="T8" s="47">
        <f>IF(OR(AND(ISNUMBER(L8),N(Stromkreisliste!K8)&gt;0,OR(L8&gt;N(Stromkreisliste!K8),L8&lt;0.5*N(Stromkreisliste!K8))),AND(ISNUMBER(M8),M8&gt;$J$5),AND(ISNUMBER(N8),N8&gt;$L$5)),1,0)</f>
        <v/>
      </c>
      <c r="U8" s="47">
        <f>IF(O8="links",1,0)</f>
        <v/>
      </c>
    </row>
    <row r="9" ht="16" customHeight="1">
      <c r="A9" s="19">
        <f>IF(Stromkreisliste!B9="","",ROW()-6)</f>
        <v/>
      </c>
      <c r="B9" s="41">
        <f>IF(Stromkreisliste!B9="","",Stromkreisliste!B9)</f>
        <v/>
      </c>
      <c r="C9" s="42">
        <f>IF(Stromkreisliste!B9="","",Stromkreisliste!P9&amp;IF(AND(Stromkreisliste!P9&lt;&gt;"",Stromkreisliste!Q9&lt;&gt;"")," – ","")&amp;Stromkreisliste!Q9)</f>
        <v/>
      </c>
      <c r="D9" s="42">
        <f>IF(Stromkreisliste!B9="","",IF(Stromkreisliste!F9="FI/RCD","FI "&amp;Stromkreisliste!H9&amp;" A / "&amp;Stromkreisliste!K9&amp;" mA",IF(Stromkreisliste!F9="FI/LS (RCBO)","FI/LS "&amp;Stromkreisliste!G9&amp;Stromkreisliste!H9&amp;" / "&amp;Stromkreisliste!K9&amp;" mA",IF(Stromkreisliste!G9="",Stromkreisliste!F9&amp;IF(Stromkreisliste!H9="",""," "&amp;Stromkreisliste!H9&amp;" A"),Stromkreisliste!G9&amp;Stromkreisliste!H9))))</f>
        <v/>
      </c>
      <c r="E9" s="42">
        <f>IF(Stromkreisliste!B9="","",TRIM(Stromkreisliste!M9&amp;" "&amp;Stromkreisliste!N9))</f>
        <v/>
      </c>
      <c r="F9" s="43" t="n"/>
      <c r="G9" s="43" t="n"/>
      <c r="H9" s="43" t="n"/>
      <c r="I9" s="43" t="n"/>
      <c r="J9" s="44">
        <f>IF(N(I9)&gt;0,$D$5/I9,"")</f>
        <v/>
      </c>
      <c r="K9" s="45">
        <f>IF(OR(Stromkreisliste!B9="",N(Stromkreisliste!H9)=0),"",IFERROR($H$5*$D$5/(Stromkreisliste!H9*INDEX({5,10,20,14,3},MATCH(Stromkreisliste!G9,{"B","C","D","K","Z"},0))),""))</f>
        <v/>
      </c>
      <c r="L9" s="21" t="n"/>
      <c r="M9" s="21" t="n"/>
      <c r="N9" s="21" t="n"/>
      <c r="O9" s="21" t="n"/>
      <c r="P9" s="46">
        <f>IF(COUNTA(F9:I9,L9:O9)=0,"",IF(R9+S9+T9+U9&gt;0,"n.i.O.","i.O."))</f>
        <v/>
      </c>
      <c r="Q9" s="20" t="n"/>
      <c r="R9" s="47">
        <f>IF(OR(AND(ISNUMBER(F9),F9&lt;$F$5),AND(ISNUMBER(G9),G9&lt;$F$5)),1,0)</f>
        <v/>
      </c>
      <c r="S9" s="47">
        <f>IF(AND(ISNUMBER(I9),N(K9)&gt;0,I9&gt;N(K9)),1,0)</f>
        <v/>
      </c>
      <c r="T9" s="47">
        <f>IF(OR(AND(ISNUMBER(L9),N(Stromkreisliste!K9)&gt;0,OR(L9&gt;N(Stromkreisliste!K9),L9&lt;0.5*N(Stromkreisliste!K9))),AND(ISNUMBER(M9),M9&gt;$J$5),AND(ISNUMBER(N9),N9&gt;$L$5)),1,0)</f>
        <v/>
      </c>
      <c r="U9" s="47">
        <f>IF(O9="links",1,0)</f>
        <v/>
      </c>
    </row>
    <row r="10" ht="16" customHeight="1">
      <c r="A10" s="19">
        <f>IF(Stromkreisliste!B10="","",ROW()-6)</f>
        <v/>
      </c>
      <c r="B10" s="41">
        <f>IF(Stromkreisliste!B10="","",Stromkreisliste!B10)</f>
        <v/>
      </c>
      <c r="C10" s="42">
        <f>IF(Stromkreisliste!B10="","",Stromkreisliste!P10&amp;IF(AND(Stromkreisliste!P10&lt;&gt;"",Stromkreisliste!Q10&lt;&gt;"")," – ","")&amp;Stromkreisliste!Q10)</f>
        <v/>
      </c>
      <c r="D10" s="42">
        <f>IF(Stromkreisliste!B10="","",IF(Stromkreisliste!F10="FI/RCD","FI "&amp;Stromkreisliste!H10&amp;" A / "&amp;Stromkreisliste!K10&amp;" mA",IF(Stromkreisliste!F10="FI/LS (RCBO)","FI/LS "&amp;Stromkreisliste!G10&amp;Stromkreisliste!H10&amp;" / "&amp;Stromkreisliste!K10&amp;" mA",IF(Stromkreisliste!G10="",Stromkreisliste!F10&amp;IF(Stromkreisliste!H10="",""," "&amp;Stromkreisliste!H10&amp;" A"),Stromkreisliste!G10&amp;Stromkreisliste!H10))))</f>
        <v/>
      </c>
      <c r="E10" s="42">
        <f>IF(Stromkreisliste!B10="","",TRIM(Stromkreisliste!M10&amp;" "&amp;Stromkreisliste!N10))</f>
        <v/>
      </c>
      <c r="F10" s="43" t="n"/>
      <c r="G10" s="43" t="n"/>
      <c r="H10" s="43" t="n"/>
      <c r="I10" s="43" t="n"/>
      <c r="J10" s="44">
        <f>IF(N(I10)&gt;0,$D$5/I10,"")</f>
        <v/>
      </c>
      <c r="K10" s="45">
        <f>IF(OR(Stromkreisliste!B10="",N(Stromkreisliste!H10)=0),"",IFERROR($H$5*$D$5/(Stromkreisliste!H10*INDEX({5,10,20,14,3},MATCH(Stromkreisliste!G10,{"B","C","D","K","Z"},0))),""))</f>
        <v/>
      </c>
      <c r="L10" s="21" t="n"/>
      <c r="M10" s="21" t="n"/>
      <c r="N10" s="21" t="n"/>
      <c r="O10" s="21" t="n"/>
      <c r="P10" s="46">
        <f>IF(COUNTA(F10:I10,L10:O10)=0,"",IF(R10+S10+T10+U10&gt;0,"n.i.O.","i.O."))</f>
        <v/>
      </c>
      <c r="Q10" s="20" t="n"/>
      <c r="R10" s="47">
        <f>IF(OR(AND(ISNUMBER(F10),F10&lt;$F$5),AND(ISNUMBER(G10),G10&lt;$F$5)),1,0)</f>
        <v/>
      </c>
      <c r="S10" s="47">
        <f>IF(AND(ISNUMBER(I10),N(K10)&gt;0,I10&gt;N(K10)),1,0)</f>
        <v/>
      </c>
      <c r="T10" s="47">
        <f>IF(OR(AND(ISNUMBER(L10),N(Stromkreisliste!K10)&gt;0,OR(L10&gt;N(Stromkreisliste!K10),L10&lt;0.5*N(Stromkreisliste!K10))),AND(ISNUMBER(M10),M10&gt;$J$5),AND(ISNUMBER(N10),N10&gt;$L$5)),1,0)</f>
        <v/>
      </c>
      <c r="U10" s="47">
        <f>IF(O10="links",1,0)</f>
        <v/>
      </c>
    </row>
    <row r="11" ht="16" customHeight="1">
      <c r="A11" s="19">
        <f>IF(Stromkreisliste!B11="","",ROW()-6)</f>
        <v/>
      </c>
      <c r="B11" s="41">
        <f>IF(Stromkreisliste!B11="","",Stromkreisliste!B11)</f>
        <v/>
      </c>
      <c r="C11" s="42">
        <f>IF(Stromkreisliste!B11="","",Stromkreisliste!P11&amp;IF(AND(Stromkreisliste!P11&lt;&gt;"",Stromkreisliste!Q11&lt;&gt;"")," – ","")&amp;Stromkreisliste!Q11)</f>
        <v/>
      </c>
      <c r="D11" s="42">
        <f>IF(Stromkreisliste!B11="","",IF(Stromkreisliste!F11="FI/RCD","FI "&amp;Stromkreisliste!H11&amp;" A / "&amp;Stromkreisliste!K11&amp;" mA",IF(Stromkreisliste!F11="FI/LS (RCBO)","FI/LS "&amp;Stromkreisliste!G11&amp;Stromkreisliste!H11&amp;" / "&amp;Stromkreisliste!K11&amp;" mA",IF(Stromkreisliste!G11="",Stromkreisliste!F11&amp;IF(Stromkreisliste!H11="",""," "&amp;Stromkreisliste!H11&amp;" A"),Stromkreisliste!G11&amp;Stromkreisliste!H11))))</f>
        <v/>
      </c>
      <c r="E11" s="42">
        <f>IF(Stromkreisliste!B11="","",TRIM(Stromkreisliste!M11&amp;" "&amp;Stromkreisliste!N11))</f>
        <v/>
      </c>
      <c r="F11" s="43" t="n"/>
      <c r="G11" s="43" t="n"/>
      <c r="H11" s="43" t="n"/>
      <c r="I11" s="43" t="n"/>
      <c r="J11" s="44">
        <f>IF(N(I11)&gt;0,$D$5/I11,"")</f>
        <v/>
      </c>
      <c r="K11" s="45">
        <f>IF(OR(Stromkreisliste!B11="",N(Stromkreisliste!H11)=0),"",IFERROR($H$5*$D$5/(Stromkreisliste!H11*INDEX({5,10,20,14,3},MATCH(Stromkreisliste!G11,{"B","C","D","K","Z"},0))),""))</f>
        <v/>
      </c>
      <c r="L11" s="21" t="n"/>
      <c r="M11" s="21" t="n"/>
      <c r="N11" s="21" t="n"/>
      <c r="O11" s="21" t="n"/>
      <c r="P11" s="46">
        <f>IF(COUNTA(F11:I11,L11:O11)=0,"",IF(R11+S11+T11+U11&gt;0,"n.i.O.","i.O."))</f>
        <v/>
      </c>
      <c r="Q11" s="20" t="n"/>
      <c r="R11" s="47">
        <f>IF(OR(AND(ISNUMBER(F11),F11&lt;$F$5),AND(ISNUMBER(G11),G11&lt;$F$5)),1,0)</f>
        <v/>
      </c>
      <c r="S11" s="47">
        <f>IF(AND(ISNUMBER(I11),N(K11)&gt;0,I11&gt;N(K11)),1,0)</f>
        <v/>
      </c>
      <c r="T11" s="47">
        <f>IF(OR(AND(ISNUMBER(L11),N(Stromkreisliste!K11)&gt;0,OR(L11&gt;N(Stromkreisliste!K11),L11&lt;0.5*N(Stromkreisliste!K11))),AND(ISNUMBER(M11),M11&gt;$J$5),AND(ISNUMBER(N11),N11&gt;$L$5)),1,0)</f>
        <v/>
      </c>
      <c r="U11" s="47">
        <f>IF(O11="links",1,0)</f>
        <v/>
      </c>
    </row>
    <row r="12" ht="16" customHeight="1">
      <c r="A12" s="19">
        <f>IF(Stromkreisliste!B12="","",ROW()-6)</f>
        <v/>
      </c>
      <c r="B12" s="41">
        <f>IF(Stromkreisliste!B12="","",Stromkreisliste!B12)</f>
        <v/>
      </c>
      <c r="C12" s="42">
        <f>IF(Stromkreisliste!B12="","",Stromkreisliste!P12&amp;IF(AND(Stromkreisliste!P12&lt;&gt;"",Stromkreisliste!Q12&lt;&gt;"")," – ","")&amp;Stromkreisliste!Q12)</f>
        <v/>
      </c>
      <c r="D12" s="42">
        <f>IF(Stromkreisliste!B12="","",IF(Stromkreisliste!F12="FI/RCD","FI "&amp;Stromkreisliste!H12&amp;" A / "&amp;Stromkreisliste!K12&amp;" mA",IF(Stromkreisliste!F12="FI/LS (RCBO)","FI/LS "&amp;Stromkreisliste!G12&amp;Stromkreisliste!H12&amp;" / "&amp;Stromkreisliste!K12&amp;" mA",IF(Stromkreisliste!G12="",Stromkreisliste!F12&amp;IF(Stromkreisliste!H12="",""," "&amp;Stromkreisliste!H12&amp;" A"),Stromkreisliste!G12&amp;Stromkreisliste!H12))))</f>
        <v/>
      </c>
      <c r="E12" s="42">
        <f>IF(Stromkreisliste!B12="","",TRIM(Stromkreisliste!M12&amp;" "&amp;Stromkreisliste!N12))</f>
        <v/>
      </c>
      <c r="F12" s="43" t="n"/>
      <c r="G12" s="43" t="n"/>
      <c r="H12" s="43" t="n"/>
      <c r="I12" s="43" t="n"/>
      <c r="J12" s="44">
        <f>IF(N(I12)&gt;0,$D$5/I12,"")</f>
        <v/>
      </c>
      <c r="K12" s="45">
        <f>IF(OR(Stromkreisliste!B12="",N(Stromkreisliste!H12)=0),"",IFERROR($H$5*$D$5/(Stromkreisliste!H12*INDEX({5,10,20,14,3},MATCH(Stromkreisliste!G12,{"B","C","D","K","Z"},0))),""))</f>
        <v/>
      </c>
      <c r="L12" s="21" t="n"/>
      <c r="M12" s="21" t="n"/>
      <c r="N12" s="21" t="n"/>
      <c r="O12" s="21" t="n"/>
      <c r="P12" s="46">
        <f>IF(COUNTA(F12:I12,L12:O12)=0,"",IF(R12+S12+T12+U12&gt;0,"n.i.O.","i.O."))</f>
        <v/>
      </c>
      <c r="Q12" s="20" t="n"/>
      <c r="R12" s="47">
        <f>IF(OR(AND(ISNUMBER(F12),F12&lt;$F$5),AND(ISNUMBER(G12),G12&lt;$F$5)),1,0)</f>
        <v/>
      </c>
      <c r="S12" s="47">
        <f>IF(AND(ISNUMBER(I12),N(K12)&gt;0,I12&gt;N(K12)),1,0)</f>
        <v/>
      </c>
      <c r="T12" s="47">
        <f>IF(OR(AND(ISNUMBER(L12),N(Stromkreisliste!K12)&gt;0,OR(L12&gt;N(Stromkreisliste!K12),L12&lt;0.5*N(Stromkreisliste!K12))),AND(ISNUMBER(M12),M12&gt;$J$5),AND(ISNUMBER(N12),N12&gt;$L$5)),1,0)</f>
        <v/>
      </c>
      <c r="U12" s="47">
        <f>IF(O12="links",1,0)</f>
        <v/>
      </c>
    </row>
    <row r="13" ht="16" customHeight="1">
      <c r="A13" s="19">
        <f>IF(Stromkreisliste!B13="","",ROW()-6)</f>
        <v/>
      </c>
      <c r="B13" s="41">
        <f>IF(Stromkreisliste!B13="","",Stromkreisliste!B13)</f>
        <v/>
      </c>
      <c r="C13" s="42">
        <f>IF(Stromkreisliste!B13="","",Stromkreisliste!P13&amp;IF(AND(Stromkreisliste!P13&lt;&gt;"",Stromkreisliste!Q13&lt;&gt;"")," – ","")&amp;Stromkreisliste!Q13)</f>
        <v/>
      </c>
      <c r="D13" s="42">
        <f>IF(Stromkreisliste!B13="","",IF(Stromkreisliste!F13="FI/RCD","FI "&amp;Stromkreisliste!H13&amp;" A / "&amp;Stromkreisliste!K13&amp;" mA",IF(Stromkreisliste!F13="FI/LS (RCBO)","FI/LS "&amp;Stromkreisliste!G13&amp;Stromkreisliste!H13&amp;" / "&amp;Stromkreisliste!K13&amp;" mA",IF(Stromkreisliste!G13="",Stromkreisliste!F13&amp;IF(Stromkreisliste!H13="",""," "&amp;Stromkreisliste!H13&amp;" A"),Stromkreisliste!G13&amp;Stromkreisliste!H13))))</f>
        <v/>
      </c>
      <c r="E13" s="42">
        <f>IF(Stromkreisliste!B13="","",TRIM(Stromkreisliste!M13&amp;" "&amp;Stromkreisliste!N13))</f>
        <v/>
      </c>
      <c r="F13" s="43" t="n"/>
      <c r="G13" s="43" t="n"/>
      <c r="H13" s="43" t="n"/>
      <c r="I13" s="43" t="n"/>
      <c r="J13" s="44">
        <f>IF(N(I13)&gt;0,$D$5/I13,"")</f>
        <v/>
      </c>
      <c r="K13" s="45">
        <f>IF(OR(Stromkreisliste!B13="",N(Stromkreisliste!H13)=0),"",IFERROR($H$5*$D$5/(Stromkreisliste!H13*INDEX({5,10,20,14,3},MATCH(Stromkreisliste!G13,{"B","C","D","K","Z"},0))),""))</f>
        <v/>
      </c>
      <c r="L13" s="21" t="n"/>
      <c r="M13" s="21" t="n"/>
      <c r="N13" s="21" t="n"/>
      <c r="O13" s="21" t="n"/>
      <c r="P13" s="46">
        <f>IF(COUNTA(F13:I13,L13:O13)=0,"",IF(R13+S13+T13+U13&gt;0,"n.i.O.","i.O."))</f>
        <v/>
      </c>
      <c r="Q13" s="20" t="n"/>
      <c r="R13" s="47">
        <f>IF(OR(AND(ISNUMBER(F13),F13&lt;$F$5),AND(ISNUMBER(G13),G13&lt;$F$5)),1,0)</f>
        <v/>
      </c>
      <c r="S13" s="47">
        <f>IF(AND(ISNUMBER(I13),N(K13)&gt;0,I13&gt;N(K13)),1,0)</f>
        <v/>
      </c>
      <c r="T13" s="47">
        <f>IF(OR(AND(ISNUMBER(L13),N(Stromkreisliste!K13)&gt;0,OR(L13&gt;N(Stromkreisliste!K13),L13&lt;0.5*N(Stromkreisliste!K13))),AND(ISNUMBER(M13),M13&gt;$J$5),AND(ISNUMBER(N13),N13&gt;$L$5)),1,0)</f>
        <v/>
      </c>
      <c r="U13" s="47">
        <f>IF(O13="links",1,0)</f>
        <v/>
      </c>
    </row>
    <row r="14" ht="16" customHeight="1">
      <c r="A14" s="19">
        <f>IF(Stromkreisliste!B14="","",ROW()-6)</f>
        <v/>
      </c>
      <c r="B14" s="41">
        <f>IF(Stromkreisliste!B14="","",Stromkreisliste!B14)</f>
        <v/>
      </c>
      <c r="C14" s="42">
        <f>IF(Stromkreisliste!B14="","",Stromkreisliste!P14&amp;IF(AND(Stromkreisliste!P14&lt;&gt;"",Stromkreisliste!Q14&lt;&gt;"")," – ","")&amp;Stromkreisliste!Q14)</f>
        <v/>
      </c>
      <c r="D14" s="42">
        <f>IF(Stromkreisliste!B14="","",IF(Stromkreisliste!F14="FI/RCD","FI "&amp;Stromkreisliste!H14&amp;" A / "&amp;Stromkreisliste!K14&amp;" mA",IF(Stromkreisliste!F14="FI/LS (RCBO)","FI/LS "&amp;Stromkreisliste!G14&amp;Stromkreisliste!H14&amp;" / "&amp;Stromkreisliste!K14&amp;" mA",IF(Stromkreisliste!G14="",Stromkreisliste!F14&amp;IF(Stromkreisliste!H14="",""," "&amp;Stromkreisliste!H14&amp;" A"),Stromkreisliste!G14&amp;Stromkreisliste!H14))))</f>
        <v/>
      </c>
      <c r="E14" s="42">
        <f>IF(Stromkreisliste!B14="","",TRIM(Stromkreisliste!M14&amp;" "&amp;Stromkreisliste!N14))</f>
        <v/>
      </c>
      <c r="F14" s="43" t="n"/>
      <c r="G14" s="43" t="n"/>
      <c r="H14" s="43" t="n"/>
      <c r="I14" s="43" t="n"/>
      <c r="J14" s="44">
        <f>IF(N(I14)&gt;0,$D$5/I14,"")</f>
        <v/>
      </c>
      <c r="K14" s="45">
        <f>IF(OR(Stromkreisliste!B14="",N(Stromkreisliste!H14)=0),"",IFERROR($H$5*$D$5/(Stromkreisliste!H14*INDEX({5,10,20,14,3},MATCH(Stromkreisliste!G14,{"B","C","D","K","Z"},0))),""))</f>
        <v/>
      </c>
      <c r="L14" s="21" t="n"/>
      <c r="M14" s="21" t="n"/>
      <c r="N14" s="21" t="n"/>
      <c r="O14" s="21" t="n"/>
      <c r="P14" s="46">
        <f>IF(COUNTA(F14:I14,L14:O14)=0,"",IF(R14+S14+T14+U14&gt;0,"n.i.O.","i.O."))</f>
        <v/>
      </c>
      <c r="Q14" s="20" t="n"/>
      <c r="R14" s="47">
        <f>IF(OR(AND(ISNUMBER(F14),F14&lt;$F$5),AND(ISNUMBER(G14),G14&lt;$F$5)),1,0)</f>
        <v/>
      </c>
      <c r="S14" s="47">
        <f>IF(AND(ISNUMBER(I14),N(K14)&gt;0,I14&gt;N(K14)),1,0)</f>
        <v/>
      </c>
      <c r="T14" s="47">
        <f>IF(OR(AND(ISNUMBER(L14),N(Stromkreisliste!K14)&gt;0,OR(L14&gt;N(Stromkreisliste!K14),L14&lt;0.5*N(Stromkreisliste!K14))),AND(ISNUMBER(M14),M14&gt;$J$5),AND(ISNUMBER(N14),N14&gt;$L$5)),1,0)</f>
        <v/>
      </c>
      <c r="U14" s="47">
        <f>IF(O14="links",1,0)</f>
        <v/>
      </c>
    </row>
    <row r="15" ht="16" customHeight="1">
      <c r="A15" s="19">
        <f>IF(Stromkreisliste!B15="","",ROW()-6)</f>
        <v/>
      </c>
      <c r="B15" s="41">
        <f>IF(Stromkreisliste!B15="","",Stromkreisliste!B15)</f>
        <v/>
      </c>
      <c r="C15" s="42">
        <f>IF(Stromkreisliste!B15="","",Stromkreisliste!P15&amp;IF(AND(Stromkreisliste!P15&lt;&gt;"",Stromkreisliste!Q15&lt;&gt;"")," – ","")&amp;Stromkreisliste!Q15)</f>
        <v/>
      </c>
      <c r="D15" s="42">
        <f>IF(Stromkreisliste!B15="","",IF(Stromkreisliste!F15="FI/RCD","FI "&amp;Stromkreisliste!H15&amp;" A / "&amp;Stromkreisliste!K15&amp;" mA",IF(Stromkreisliste!F15="FI/LS (RCBO)","FI/LS "&amp;Stromkreisliste!G15&amp;Stromkreisliste!H15&amp;" / "&amp;Stromkreisliste!K15&amp;" mA",IF(Stromkreisliste!G15="",Stromkreisliste!F15&amp;IF(Stromkreisliste!H15="",""," "&amp;Stromkreisliste!H15&amp;" A"),Stromkreisliste!G15&amp;Stromkreisliste!H15))))</f>
        <v/>
      </c>
      <c r="E15" s="42">
        <f>IF(Stromkreisliste!B15="","",TRIM(Stromkreisliste!M15&amp;" "&amp;Stromkreisliste!N15))</f>
        <v/>
      </c>
      <c r="F15" s="43" t="n"/>
      <c r="G15" s="43" t="n"/>
      <c r="H15" s="43" t="n"/>
      <c r="I15" s="43" t="n"/>
      <c r="J15" s="44">
        <f>IF(N(I15)&gt;0,$D$5/I15,"")</f>
        <v/>
      </c>
      <c r="K15" s="45">
        <f>IF(OR(Stromkreisliste!B15="",N(Stromkreisliste!H15)=0),"",IFERROR($H$5*$D$5/(Stromkreisliste!H15*INDEX({5,10,20,14,3},MATCH(Stromkreisliste!G15,{"B","C","D","K","Z"},0))),""))</f>
        <v/>
      </c>
      <c r="L15" s="21" t="n"/>
      <c r="M15" s="21" t="n"/>
      <c r="N15" s="21" t="n"/>
      <c r="O15" s="21" t="n"/>
      <c r="P15" s="46">
        <f>IF(COUNTA(F15:I15,L15:O15)=0,"",IF(R15+S15+T15+U15&gt;0,"n.i.O.","i.O."))</f>
        <v/>
      </c>
      <c r="Q15" s="20" t="n"/>
      <c r="R15" s="47">
        <f>IF(OR(AND(ISNUMBER(F15),F15&lt;$F$5),AND(ISNUMBER(G15),G15&lt;$F$5)),1,0)</f>
        <v/>
      </c>
      <c r="S15" s="47">
        <f>IF(AND(ISNUMBER(I15),N(K15)&gt;0,I15&gt;N(K15)),1,0)</f>
        <v/>
      </c>
      <c r="T15" s="47">
        <f>IF(OR(AND(ISNUMBER(L15),N(Stromkreisliste!K15)&gt;0,OR(L15&gt;N(Stromkreisliste!K15),L15&lt;0.5*N(Stromkreisliste!K15))),AND(ISNUMBER(M15),M15&gt;$J$5),AND(ISNUMBER(N15),N15&gt;$L$5)),1,0)</f>
        <v/>
      </c>
      <c r="U15" s="47">
        <f>IF(O15="links",1,0)</f>
        <v/>
      </c>
    </row>
    <row r="16" ht="16" customHeight="1">
      <c r="A16" s="19">
        <f>IF(Stromkreisliste!B16="","",ROW()-6)</f>
        <v/>
      </c>
      <c r="B16" s="41">
        <f>IF(Stromkreisliste!B16="","",Stromkreisliste!B16)</f>
        <v/>
      </c>
      <c r="C16" s="42">
        <f>IF(Stromkreisliste!B16="","",Stromkreisliste!P16&amp;IF(AND(Stromkreisliste!P16&lt;&gt;"",Stromkreisliste!Q16&lt;&gt;"")," – ","")&amp;Stromkreisliste!Q16)</f>
        <v/>
      </c>
      <c r="D16" s="42">
        <f>IF(Stromkreisliste!B16="","",IF(Stromkreisliste!F16="FI/RCD","FI "&amp;Stromkreisliste!H16&amp;" A / "&amp;Stromkreisliste!K16&amp;" mA",IF(Stromkreisliste!F16="FI/LS (RCBO)","FI/LS "&amp;Stromkreisliste!G16&amp;Stromkreisliste!H16&amp;" / "&amp;Stromkreisliste!K16&amp;" mA",IF(Stromkreisliste!G16="",Stromkreisliste!F16&amp;IF(Stromkreisliste!H16="",""," "&amp;Stromkreisliste!H16&amp;" A"),Stromkreisliste!G16&amp;Stromkreisliste!H16))))</f>
        <v/>
      </c>
      <c r="E16" s="42">
        <f>IF(Stromkreisliste!B16="","",TRIM(Stromkreisliste!M16&amp;" "&amp;Stromkreisliste!N16))</f>
        <v/>
      </c>
      <c r="F16" s="43" t="n"/>
      <c r="G16" s="43" t="n"/>
      <c r="H16" s="43" t="n"/>
      <c r="I16" s="43" t="n"/>
      <c r="J16" s="44">
        <f>IF(N(I16)&gt;0,$D$5/I16,"")</f>
        <v/>
      </c>
      <c r="K16" s="45">
        <f>IF(OR(Stromkreisliste!B16="",N(Stromkreisliste!H16)=0),"",IFERROR($H$5*$D$5/(Stromkreisliste!H16*INDEX({5,10,20,14,3},MATCH(Stromkreisliste!G16,{"B","C","D","K","Z"},0))),""))</f>
        <v/>
      </c>
      <c r="L16" s="21" t="n"/>
      <c r="M16" s="21" t="n"/>
      <c r="N16" s="21" t="n"/>
      <c r="O16" s="21" t="n"/>
      <c r="P16" s="46">
        <f>IF(COUNTA(F16:I16,L16:O16)=0,"",IF(R16+S16+T16+U16&gt;0,"n.i.O.","i.O."))</f>
        <v/>
      </c>
      <c r="Q16" s="20" t="n"/>
      <c r="R16" s="47">
        <f>IF(OR(AND(ISNUMBER(F16),F16&lt;$F$5),AND(ISNUMBER(G16),G16&lt;$F$5)),1,0)</f>
        <v/>
      </c>
      <c r="S16" s="47">
        <f>IF(AND(ISNUMBER(I16),N(K16)&gt;0,I16&gt;N(K16)),1,0)</f>
        <v/>
      </c>
      <c r="T16" s="47">
        <f>IF(OR(AND(ISNUMBER(L16),N(Stromkreisliste!K16)&gt;0,OR(L16&gt;N(Stromkreisliste!K16),L16&lt;0.5*N(Stromkreisliste!K16))),AND(ISNUMBER(M16),M16&gt;$J$5),AND(ISNUMBER(N16),N16&gt;$L$5)),1,0)</f>
        <v/>
      </c>
      <c r="U16" s="47">
        <f>IF(O16="links",1,0)</f>
        <v/>
      </c>
    </row>
    <row r="17" ht="16" customHeight="1">
      <c r="A17" s="19">
        <f>IF(Stromkreisliste!B17="","",ROW()-6)</f>
        <v/>
      </c>
      <c r="B17" s="41">
        <f>IF(Stromkreisliste!B17="","",Stromkreisliste!B17)</f>
        <v/>
      </c>
      <c r="C17" s="42">
        <f>IF(Stromkreisliste!B17="","",Stromkreisliste!P17&amp;IF(AND(Stromkreisliste!P17&lt;&gt;"",Stromkreisliste!Q17&lt;&gt;"")," – ","")&amp;Stromkreisliste!Q17)</f>
        <v/>
      </c>
      <c r="D17" s="42">
        <f>IF(Stromkreisliste!B17="","",IF(Stromkreisliste!F17="FI/RCD","FI "&amp;Stromkreisliste!H17&amp;" A / "&amp;Stromkreisliste!K17&amp;" mA",IF(Stromkreisliste!F17="FI/LS (RCBO)","FI/LS "&amp;Stromkreisliste!G17&amp;Stromkreisliste!H17&amp;" / "&amp;Stromkreisliste!K17&amp;" mA",IF(Stromkreisliste!G17="",Stromkreisliste!F17&amp;IF(Stromkreisliste!H17="",""," "&amp;Stromkreisliste!H17&amp;" A"),Stromkreisliste!G17&amp;Stromkreisliste!H17))))</f>
        <v/>
      </c>
      <c r="E17" s="42">
        <f>IF(Stromkreisliste!B17="","",TRIM(Stromkreisliste!M17&amp;" "&amp;Stromkreisliste!N17))</f>
        <v/>
      </c>
      <c r="F17" s="43" t="n"/>
      <c r="G17" s="43" t="n"/>
      <c r="H17" s="43" t="n"/>
      <c r="I17" s="43" t="n"/>
      <c r="J17" s="44">
        <f>IF(N(I17)&gt;0,$D$5/I17,"")</f>
        <v/>
      </c>
      <c r="K17" s="45">
        <f>IF(OR(Stromkreisliste!B17="",N(Stromkreisliste!H17)=0),"",IFERROR($H$5*$D$5/(Stromkreisliste!H17*INDEX({5,10,20,14,3},MATCH(Stromkreisliste!G17,{"B","C","D","K","Z"},0))),""))</f>
        <v/>
      </c>
      <c r="L17" s="21" t="n"/>
      <c r="M17" s="21" t="n"/>
      <c r="N17" s="21" t="n"/>
      <c r="O17" s="21" t="n"/>
      <c r="P17" s="46">
        <f>IF(COUNTA(F17:I17,L17:O17)=0,"",IF(R17+S17+T17+U17&gt;0,"n.i.O.","i.O."))</f>
        <v/>
      </c>
      <c r="Q17" s="20" t="n"/>
      <c r="R17" s="47">
        <f>IF(OR(AND(ISNUMBER(F17),F17&lt;$F$5),AND(ISNUMBER(G17),G17&lt;$F$5)),1,0)</f>
        <v/>
      </c>
      <c r="S17" s="47">
        <f>IF(AND(ISNUMBER(I17),N(K17)&gt;0,I17&gt;N(K17)),1,0)</f>
        <v/>
      </c>
      <c r="T17" s="47">
        <f>IF(OR(AND(ISNUMBER(L17),N(Stromkreisliste!K17)&gt;0,OR(L17&gt;N(Stromkreisliste!K17),L17&lt;0.5*N(Stromkreisliste!K17))),AND(ISNUMBER(M17),M17&gt;$J$5),AND(ISNUMBER(N17),N17&gt;$L$5)),1,0)</f>
        <v/>
      </c>
      <c r="U17" s="47">
        <f>IF(O17="links",1,0)</f>
        <v/>
      </c>
    </row>
    <row r="18" ht="16" customHeight="1">
      <c r="A18" s="19">
        <f>IF(Stromkreisliste!B18="","",ROW()-6)</f>
        <v/>
      </c>
      <c r="B18" s="41">
        <f>IF(Stromkreisliste!B18="","",Stromkreisliste!B18)</f>
        <v/>
      </c>
      <c r="C18" s="42">
        <f>IF(Stromkreisliste!B18="","",Stromkreisliste!P18&amp;IF(AND(Stromkreisliste!P18&lt;&gt;"",Stromkreisliste!Q18&lt;&gt;"")," – ","")&amp;Stromkreisliste!Q18)</f>
        <v/>
      </c>
      <c r="D18" s="42">
        <f>IF(Stromkreisliste!B18="","",IF(Stromkreisliste!F18="FI/RCD","FI "&amp;Stromkreisliste!H18&amp;" A / "&amp;Stromkreisliste!K18&amp;" mA",IF(Stromkreisliste!F18="FI/LS (RCBO)","FI/LS "&amp;Stromkreisliste!G18&amp;Stromkreisliste!H18&amp;" / "&amp;Stromkreisliste!K18&amp;" mA",IF(Stromkreisliste!G18="",Stromkreisliste!F18&amp;IF(Stromkreisliste!H18="",""," "&amp;Stromkreisliste!H18&amp;" A"),Stromkreisliste!G18&amp;Stromkreisliste!H18))))</f>
        <v/>
      </c>
      <c r="E18" s="42">
        <f>IF(Stromkreisliste!B18="","",TRIM(Stromkreisliste!M18&amp;" "&amp;Stromkreisliste!N18))</f>
        <v/>
      </c>
      <c r="F18" s="43" t="n"/>
      <c r="G18" s="43" t="n"/>
      <c r="H18" s="43" t="n"/>
      <c r="I18" s="43" t="n"/>
      <c r="J18" s="44">
        <f>IF(N(I18)&gt;0,$D$5/I18,"")</f>
        <v/>
      </c>
      <c r="K18" s="45">
        <f>IF(OR(Stromkreisliste!B18="",N(Stromkreisliste!H18)=0),"",IFERROR($H$5*$D$5/(Stromkreisliste!H18*INDEX({5,10,20,14,3},MATCH(Stromkreisliste!G18,{"B","C","D","K","Z"},0))),""))</f>
        <v/>
      </c>
      <c r="L18" s="21" t="n"/>
      <c r="M18" s="21" t="n"/>
      <c r="N18" s="21" t="n"/>
      <c r="O18" s="21" t="n"/>
      <c r="P18" s="46">
        <f>IF(COUNTA(F18:I18,L18:O18)=0,"",IF(R18+S18+T18+U18&gt;0,"n.i.O.","i.O."))</f>
        <v/>
      </c>
      <c r="Q18" s="20" t="n"/>
      <c r="R18" s="47">
        <f>IF(OR(AND(ISNUMBER(F18),F18&lt;$F$5),AND(ISNUMBER(G18),G18&lt;$F$5)),1,0)</f>
        <v/>
      </c>
      <c r="S18" s="47">
        <f>IF(AND(ISNUMBER(I18),N(K18)&gt;0,I18&gt;N(K18)),1,0)</f>
        <v/>
      </c>
      <c r="T18" s="47">
        <f>IF(OR(AND(ISNUMBER(L18),N(Stromkreisliste!K18)&gt;0,OR(L18&gt;N(Stromkreisliste!K18),L18&lt;0.5*N(Stromkreisliste!K18))),AND(ISNUMBER(M18),M18&gt;$J$5),AND(ISNUMBER(N18),N18&gt;$L$5)),1,0)</f>
        <v/>
      </c>
      <c r="U18" s="47">
        <f>IF(O18="links",1,0)</f>
        <v/>
      </c>
    </row>
    <row r="19" ht="16" customHeight="1">
      <c r="A19" s="19">
        <f>IF(Stromkreisliste!B19="","",ROW()-6)</f>
        <v/>
      </c>
      <c r="B19" s="41">
        <f>IF(Stromkreisliste!B19="","",Stromkreisliste!B19)</f>
        <v/>
      </c>
      <c r="C19" s="42">
        <f>IF(Stromkreisliste!B19="","",Stromkreisliste!P19&amp;IF(AND(Stromkreisliste!P19&lt;&gt;"",Stromkreisliste!Q19&lt;&gt;"")," – ","")&amp;Stromkreisliste!Q19)</f>
        <v/>
      </c>
      <c r="D19" s="42">
        <f>IF(Stromkreisliste!B19="","",IF(Stromkreisliste!F19="FI/RCD","FI "&amp;Stromkreisliste!H19&amp;" A / "&amp;Stromkreisliste!K19&amp;" mA",IF(Stromkreisliste!F19="FI/LS (RCBO)","FI/LS "&amp;Stromkreisliste!G19&amp;Stromkreisliste!H19&amp;" / "&amp;Stromkreisliste!K19&amp;" mA",IF(Stromkreisliste!G19="",Stromkreisliste!F19&amp;IF(Stromkreisliste!H19="",""," "&amp;Stromkreisliste!H19&amp;" A"),Stromkreisliste!G19&amp;Stromkreisliste!H19))))</f>
        <v/>
      </c>
      <c r="E19" s="42">
        <f>IF(Stromkreisliste!B19="","",TRIM(Stromkreisliste!M19&amp;" "&amp;Stromkreisliste!N19))</f>
        <v/>
      </c>
      <c r="F19" s="43" t="n"/>
      <c r="G19" s="43" t="n"/>
      <c r="H19" s="43" t="n"/>
      <c r="I19" s="43" t="n"/>
      <c r="J19" s="44">
        <f>IF(N(I19)&gt;0,$D$5/I19,"")</f>
        <v/>
      </c>
      <c r="K19" s="45">
        <f>IF(OR(Stromkreisliste!B19="",N(Stromkreisliste!H19)=0),"",IFERROR($H$5*$D$5/(Stromkreisliste!H19*INDEX({5,10,20,14,3},MATCH(Stromkreisliste!G19,{"B","C","D","K","Z"},0))),""))</f>
        <v/>
      </c>
      <c r="L19" s="21" t="n"/>
      <c r="M19" s="21" t="n"/>
      <c r="N19" s="21" t="n"/>
      <c r="O19" s="21" t="n"/>
      <c r="P19" s="46">
        <f>IF(COUNTA(F19:I19,L19:O19)=0,"",IF(R19+S19+T19+U19&gt;0,"n.i.O.","i.O."))</f>
        <v/>
      </c>
      <c r="Q19" s="20" t="n"/>
      <c r="R19" s="47">
        <f>IF(OR(AND(ISNUMBER(F19),F19&lt;$F$5),AND(ISNUMBER(G19),G19&lt;$F$5)),1,0)</f>
        <v/>
      </c>
      <c r="S19" s="47">
        <f>IF(AND(ISNUMBER(I19),N(K19)&gt;0,I19&gt;N(K19)),1,0)</f>
        <v/>
      </c>
      <c r="T19" s="47">
        <f>IF(OR(AND(ISNUMBER(L19),N(Stromkreisliste!K19)&gt;0,OR(L19&gt;N(Stromkreisliste!K19),L19&lt;0.5*N(Stromkreisliste!K19))),AND(ISNUMBER(M19),M19&gt;$J$5),AND(ISNUMBER(N19),N19&gt;$L$5)),1,0)</f>
        <v/>
      </c>
      <c r="U19" s="47">
        <f>IF(O19="links",1,0)</f>
        <v/>
      </c>
    </row>
    <row r="20" ht="16" customHeight="1">
      <c r="A20" s="19">
        <f>IF(Stromkreisliste!B20="","",ROW()-6)</f>
        <v/>
      </c>
      <c r="B20" s="41">
        <f>IF(Stromkreisliste!B20="","",Stromkreisliste!B20)</f>
        <v/>
      </c>
      <c r="C20" s="42">
        <f>IF(Stromkreisliste!B20="","",Stromkreisliste!P20&amp;IF(AND(Stromkreisliste!P20&lt;&gt;"",Stromkreisliste!Q20&lt;&gt;"")," – ","")&amp;Stromkreisliste!Q20)</f>
        <v/>
      </c>
      <c r="D20" s="42">
        <f>IF(Stromkreisliste!B20="","",IF(Stromkreisliste!F20="FI/RCD","FI "&amp;Stromkreisliste!H20&amp;" A / "&amp;Stromkreisliste!K20&amp;" mA",IF(Stromkreisliste!F20="FI/LS (RCBO)","FI/LS "&amp;Stromkreisliste!G20&amp;Stromkreisliste!H20&amp;" / "&amp;Stromkreisliste!K20&amp;" mA",IF(Stromkreisliste!G20="",Stromkreisliste!F20&amp;IF(Stromkreisliste!H20="",""," "&amp;Stromkreisliste!H20&amp;" A"),Stromkreisliste!G20&amp;Stromkreisliste!H20))))</f>
        <v/>
      </c>
      <c r="E20" s="42">
        <f>IF(Stromkreisliste!B20="","",TRIM(Stromkreisliste!M20&amp;" "&amp;Stromkreisliste!N20))</f>
        <v/>
      </c>
      <c r="F20" s="43" t="n"/>
      <c r="G20" s="43" t="n"/>
      <c r="H20" s="43" t="n"/>
      <c r="I20" s="43" t="n"/>
      <c r="J20" s="44">
        <f>IF(N(I20)&gt;0,$D$5/I20,"")</f>
        <v/>
      </c>
      <c r="K20" s="45">
        <f>IF(OR(Stromkreisliste!B20="",N(Stromkreisliste!H20)=0),"",IFERROR($H$5*$D$5/(Stromkreisliste!H20*INDEX({5,10,20,14,3},MATCH(Stromkreisliste!G20,{"B","C","D","K","Z"},0))),""))</f>
        <v/>
      </c>
      <c r="L20" s="21" t="n"/>
      <c r="M20" s="21" t="n"/>
      <c r="N20" s="21" t="n"/>
      <c r="O20" s="21" t="n"/>
      <c r="P20" s="46">
        <f>IF(COUNTA(F20:I20,L20:O20)=0,"",IF(R20+S20+T20+U20&gt;0,"n.i.O.","i.O."))</f>
        <v/>
      </c>
      <c r="Q20" s="20" t="n"/>
      <c r="R20" s="47">
        <f>IF(OR(AND(ISNUMBER(F20),F20&lt;$F$5),AND(ISNUMBER(G20),G20&lt;$F$5)),1,0)</f>
        <v/>
      </c>
      <c r="S20" s="47">
        <f>IF(AND(ISNUMBER(I20),N(K20)&gt;0,I20&gt;N(K20)),1,0)</f>
        <v/>
      </c>
      <c r="T20" s="47">
        <f>IF(OR(AND(ISNUMBER(L20),N(Stromkreisliste!K20)&gt;0,OR(L20&gt;N(Stromkreisliste!K20),L20&lt;0.5*N(Stromkreisliste!K20))),AND(ISNUMBER(M20),M20&gt;$J$5),AND(ISNUMBER(N20),N20&gt;$L$5)),1,0)</f>
        <v/>
      </c>
      <c r="U20" s="47">
        <f>IF(O20="links",1,0)</f>
        <v/>
      </c>
    </row>
    <row r="21" ht="16" customHeight="1">
      <c r="A21" s="19">
        <f>IF(Stromkreisliste!B21="","",ROW()-6)</f>
        <v/>
      </c>
      <c r="B21" s="41">
        <f>IF(Stromkreisliste!B21="","",Stromkreisliste!B21)</f>
        <v/>
      </c>
      <c r="C21" s="42">
        <f>IF(Stromkreisliste!B21="","",Stromkreisliste!P21&amp;IF(AND(Stromkreisliste!P21&lt;&gt;"",Stromkreisliste!Q21&lt;&gt;"")," – ","")&amp;Stromkreisliste!Q21)</f>
        <v/>
      </c>
      <c r="D21" s="42">
        <f>IF(Stromkreisliste!B21="","",IF(Stromkreisliste!F21="FI/RCD","FI "&amp;Stromkreisliste!H21&amp;" A / "&amp;Stromkreisliste!K21&amp;" mA",IF(Stromkreisliste!F21="FI/LS (RCBO)","FI/LS "&amp;Stromkreisliste!G21&amp;Stromkreisliste!H21&amp;" / "&amp;Stromkreisliste!K21&amp;" mA",IF(Stromkreisliste!G21="",Stromkreisliste!F21&amp;IF(Stromkreisliste!H21="",""," "&amp;Stromkreisliste!H21&amp;" A"),Stromkreisliste!G21&amp;Stromkreisliste!H21))))</f>
        <v/>
      </c>
      <c r="E21" s="42">
        <f>IF(Stromkreisliste!B21="","",TRIM(Stromkreisliste!M21&amp;" "&amp;Stromkreisliste!N21))</f>
        <v/>
      </c>
      <c r="F21" s="43" t="n"/>
      <c r="G21" s="43" t="n"/>
      <c r="H21" s="43" t="n"/>
      <c r="I21" s="43" t="n"/>
      <c r="J21" s="44">
        <f>IF(N(I21)&gt;0,$D$5/I21,"")</f>
        <v/>
      </c>
      <c r="K21" s="45">
        <f>IF(OR(Stromkreisliste!B21="",N(Stromkreisliste!H21)=0),"",IFERROR($H$5*$D$5/(Stromkreisliste!H21*INDEX({5,10,20,14,3},MATCH(Stromkreisliste!G21,{"B","C","D","K","Z"},0))),""))</f>
        <v/>
      </c>
      <c r="L21" s="21" t="n"/>
      <c r="M21" s="21" t="n"/>
      <c r="N21" s="21" t="n"/>
      <c r="O21" s="21" t="n"/>
      <c r="P21" s="46">
        <f>IF(COUNTA(F21:I21,L21:O21)=0,"",IF(R21+S21+T21+U21&gt;0,"n.i.O.","i.O."))</f>
        <v/>
      </c>
      <c r="Q21" s="20" t="n"/>
      <c r="R21" s="47">
        <f>IF(OR(AND(ISNUMBER(F21),F21&lt;$F$5),AND(ISNUMBER(G21),G21&lt;$F$5)),1,0)</f>
        <v/>
      </c>
      <c r="S21" s="47">
        <f>IF(AND(ISNUMBER(I21),N(K21)&gt;0,I21&gt;N(K21)),1,0)</f>
        <v/>
      </c>
      <c r="T21" s="47">
        <f>IF(OR(AND(ISNUMBER(L21),N(Stromkreisliste!K21)&gt;0,OR(L21&gt;N(Stromkreisliste!K21),L21&lt;0.5*N(Stromkreisliste!K21))),AND(ISNUMBER(M21),M21&gt;$J$5),AND(ISNUMBER(N21),N21&gt;$L$5)),1,0)</f>
        <v/>
      </c>
      <c r="U21" s="47">
        <f>IF(O21="links",1,0)</f>
        <v/>
      </c>
    </row>
    <row r="22" ht="16" customHeight="1">
      <c r="A22" s="19">
        <f>IF(Stromkreisliste!B22="","",ROW()-6)</f>
        <v/>
      </c>
      <c r="B22" s="41">
        <f>IF(Stromkreisliste!B22="","",Stromkreisliste!B22)</f>
        <v/>
      </c>
      <c r="C22" s="42">
        <f>IF(Stromkreisliste!B22="","",Stromkreisliste!P22&amp;IF(AND(Stromkreisliste!P22&lt;&gt;"",Stromkreisliste!Q22&lt;&gt;"")," – ","")&amp;Stromkreisliste!Q22)</f>
        <v/>
      </c>
      <c r="D22" s="42">
        <f>IF(Stromkreisliste!B22="","",IF(Stromkreisliste!F22="FI/RCD","FI "&amp;Stromkreisliste!H22&amp;" A / "&amp;Stromkreisliste!K22&amp;" mA",IF(Stromkreisliste!F22="FI/LS (RCBO)","FI/LS "&amp;Stromkreisliste!G22&amp;Stromkreisliste!H22&amp;" / "&amp;Stromkreisliste!K22&amp;" mA",IF(Stromkreisliste!G22="",Stromkreisliste!F22&amp;IF(Stromkreisliste!H22="",""," "&amp;Stromkreisliste!H22&amp;" A"),Stromkreisliste!G22&amp;Stromkreisliste!H22))))</f>
        <v/>
      </c>
      <c r="E22" s="42">
        <f>IF(Stromkreisliste!B22="","",TRIM(Stromkreisliste!M22&amp;" "&amp;Stromkreisliste!N22))</f>
        <v/>
      </c>
      <c r="F22" s="43" t="n"/>
      <c r="G22" s="43" t="n"/>
      <c r="H22" s="43" t="n"/>
      <c r="I22" s="43" t="n"/>
      <c r="J22" s="44">
        <f>IF(N(I22)&gt;0,$D$5/I22,"")</f>
        <v/>
      </c>
      <c r="K22" s="45">
        <f>IF(OR(Stromkreisliste!B22="",N(Stromkreisliste!H22)=0),"",IFERROR($H$5*$D$5/(Stromkreisliste!H22*INDEX({5,10,20,14,3},MATCH(Stromkreisliste!G22,{"B","C","D","K","Z"},0))),""))</f>
        <v/>
      </c>
      <c r="L22" s="21" t="n"/>
      <c r="M22" s="21" t="n"/>
      <c r="N22" s="21" t="n"/>
      <c r="O22" s="21" t="n"/>
      <c r="P22" s="46">
        <f>IF(COUNTA(F22:I22,L22:O22)=0,"",IF(R22+S22+T22+U22&gt;0,"n.i.O.","i.O."))</f>
        <v/>
      </c>
      <c r="Q22" s="20" t="n"/>
      <c r="R22" s="47">
        <f>IF(OR(AND(ISNUMBER(F22),F22&lt;$F$5),AND(ISNUMBER(G22),G22&lt;$F$5)),1,0)</f>
        <v/>
      </c>
      <c r="S22" s="47">
        <f>IF(AND(ISNUMBER(I22),N(K22)&gt;0,I22&gt;N(K22)),1,0)</f>
        <v/>
      </c>
      <c r="T22" s="47">
        <f>IF(OR(AND(ISNUMBER(L22),N(Stromkreisliste!K22)&gt;0,OR(L22&gt;N(Stromkreisliste!K22),L22&lt;0.5*N(Stromkreisliste!K22))),AND(ISNUMBER(M22),M22&gt;$J$5),AND(ISNUMBER(N22),N22&gt;$L$5)),1,0)</f>
        <v/>
      </c>
      <c r="U22" s="47">
        <f>IF(O22="links",1,0)</f>
        <v/>
      </c>
    </row>
    <row r="23" ht="16" customHeight="1">
      <c r="A23" s="19">
        <f>IF(Stromkreisliste!B23="","",ROW()-6)</f>
        <v/>
      </c>
      <c r="B23" s="41">
        <f>IF(Stromkreisliste!B23="","",Stromkreisliste!B23)</f>
        <v/>
      </c>
      <c r="C23" s="42">
        <f>IF(Stromkreisliste!B23="","",Stromkreisliste!P23&amp;IF(AND(Stromkreisliste!P23&lt;&gt;"",Stromkreisliste!Q23&lt;&gt;"")," – ","")&amp;Stromkreisliste!Q23)</f>
        <v/>
      </c>
      <c r="D23" s="42">
        <f>IF(Stromkreisliste!B23="","",IF(Stromkreisliste!F23="FI/RCD","FI "&amp;Stromkreisliste!H23&amp;" A / "&amp;Stromkreisliste!K23&amp;" mA",IF(Stromkreisliste!F23="FI/LS (RCBO)","FI/LS "&amp;Stromkreisliste!G23&amp;Stromkreisliste!H23&amp;" / "&amp;Stromkreisliste!K23&amp;" mA",IF(Stromkreisliste!G23="",Stromkreisliste!F23&amp;IF(Stromkreisliste!H23="",""," "&amp;Stromkreisliste!H23&amp;" A"),Stromkreisliste!G23&amp;Stromkreisliste!H23))))</f>
        <v/>
      </c>
      <c r="E23" s="42">
        <f>IF(Stromkreisliste!B23="","",TRIM(Stromkreisliste!M23&amp;" "&amp;Stromkreisliste!N23))</f>
        <v/>
      </c>
      <c r="F23" s="43" t="n"/>
      <c r="G23" s="43" t="n"/>
      <c r="H23" s="43" t="n"/>
      <c r="I23" s="43" t="n"/>
      <c r="J23" s="44">
        <f>IF(N(I23)&gt;0,$D$5/I23,"")</f>
        <v/>
      </c>
      <c r="K23" s="45">
        <f>IF(OR(Stromkreisliste!B23="",N(Stromkreisliste!H23)=0),"",IFERROR($H$5*$D$5/(Stromkreisliste!H23*INDEX({5,10,20,14,3},MATCH(Stromkreisliste!G23,{"B","C","D","K","Z"},0))),""))</f>
        <v/>
      </c>
      <c r="L23" s="21" t="n"/>
      <c r="M23" s="21" t="n"/>
      <c r="N23" s="21" t="n"/>
      <c r="O23" s="21" t="n"/>
      <c r="P23" s="46">
        <f>IF(COUNTA(F23:I23,L23:O23)=0,"",IF(R23+S23+T23+U23&gt;0,"n.i.O.","i.O."))</f>
        <v/>
      </c>
      <c r="Q23" s="20" t="n"/>
      <c r="R23" s="47">
        <f>IF(OR(AND(ISNUMBER(F23),F23&lt;$F$5),AND(ISNUMBER(G23),G23&lt;$F$5)),1,0)</f>
        <v/>
      </c>
      <c r="S23" s="47">
        <f>IF(AND(ISNUMBER(I23),N(K23)&gt;0,I23&gt;N(K23)),1,0)</f>
        <v/>
      </c>
      <c r="T23" s="47">
        <f>IF(OR(AND(ISNUMBER(L23),N(Stromkreisliste!K23)&gt;0,OR(L23&gt;N(Stromkreisliste!K23),L23&lt;0.5*N(Stromkreisliste!K23))),AND(ISNUMBER(M23),M23&gt;$J$5),AND(ISNUMBER(N23),N23&gt;$L$5)),1,0)</f>
        <v/>
      </c>
      <c r="U23" s="47">
        <f>IF(O23="links",1,0)</f>
        <v/>
      </c>
    </row>
    <row r="24" ht="16" customHeight="1">
      <c r="A24" s="19">
        <f>IF(Stromkreisliste!B24="","",ROW()-6)</f>
        <v/>
      </c>
      <c r="B24" s="41">
        <f>IF(Stromkreisliste!B24="","",Stromkreisliste!B24)</f>
        <v/>
      </c>
      <c r="C24" s="42">
        <f>IF(Stromkreisliste!B24="","",Stromkreisliste!P24&amp;IF(AND(Stromkreisliste!P24&lt;&gt;"",Stromkreisliste!Q24&lt;&gt;"")," – ","")&amp;Stromkreisliste!Q24)</f>
        <v/>
      </c>
      <c r="D24" s="42">
        <f>IF(Stromkreisliste!B24="","",IF(Stromkreisliste!F24="FI/RCD","FI "&amp;Stromkreisliste!H24&amp;" A / "&amp;Stromkreisliste!K24&amp;" mA",IF(Stromkreisliste!F24="FI/LS (RCBO)","FI/LS "&amp;Stromkreisliste!G24&amp;Stromkreisliste!H24&amp;" / "&amp;Stromkreisliste!K24&amp;" mA",IF(Stromkreisliste!G24="",Stromkreisliste!F24&amp;IF(Stromkreisliste!H24="",""," "&amp;Stromkreisliste!H24&amp;" A"),Stromkreisliste!G24&amp;Stromkreisliste!H24))))</f>
        <v/>
      </c>
      <c r="E24" s="42">
        <f>IF(Stromkreisliste!B24="","",TRIM(Stromkreisliste!M24&amp;" "&amp;Stromkreisliste!N24))</f>
        <v/>
      </c>
      <c r="F24" s="43" t="n"/>
      <c r="G24" s="43" t="n"/>
      <c r="H24" s="43" t="n"/>
      <c r="I24" s="43" t="n"/>
      <c r="J24" s="44">
        <f>IF(N(I24)&gt;0,$D$5/I24,"")</f>
        <v/>
      </c>
      <c r="K24" s="45">
        <f>IF(OR(Stromkreisliste!B24="",N(Stromkreisliste!H24)=0),"",IFERROR($H$5*$D$5/(Stromkreisliste!H24*INDEX({5,10,20,14,3},MATCH(Stromkreisliste!G24,{"B","C","D","K","Z"},0))),""))</f>
        <v/>
      </c>
      <c r="L24" s="21" t="n"/>
      <c r="M24" s="21" t="n"/>
      <c r="N24" s="21" t="n"/>
      <c r="O24" s="21" t="n"/>
      <c r="P24" s="46">
        <f>IF(COUNTA(F24:I24,L24:O24)=0,"",IF(R24+S24+T24+U24&gt;0,"n.i.O.","i.O."))</f>
        <v/>
      </c>
      <c r="Q24" s="20" t="n"/>
      <c r="R24" s="47">
        <f>IF(OR(AND(ISNUMBER(F24),F24&lt;$F$5),AND(ISNUMBER(G24),G24&lt;$F$5)),1,0)</f>
        <v/>
      </c>
      <c r="S24" s="47">
        <f>IF(AND(ISNUMBER(I24),N(K24)&gt;0,I24&gt;N(K24)),1,0)</f>
        <v/>
      </c>
      <c r="T24" s="47">
        <f>IF(OR(AND(ISNUMBER(L24),N(Stromkreisliste!K24)&gt;0,OR(L24&gt;N(Stromkreisliste!K24),L24&lt;0.5*N(Stromkreisliste!K24))),AND(ISNUMBER(M24),M24&gt;$J$5),AND(ISNUMBER(N24),N24&gt;$L$5)),1,0)</f>
        <v/>
      </c>
      <c r="U24" s="47">
        <f>IF(O24="links",1,0)</f>
        <v/>
      </c>
    </row>
    <row r="25" ht="16" customHeight="1">
      <c r="A25" s="19">
        <f>IF(Stromkreisliste!B25="","",ROW()-6)</f>
        <v/>
      </c>
      <c r="B25" s="41">
        <f>IF(Stromkreisliste!B25="","",Stromkreisliste!B25)</f>
        <v/>
      </c>
      <c r="C25" s="42">
        <f>IF(Stromkreisliste!B25="","",Stromkreisliste!P25&amp;IF(AND(Stromkreisliste!P25&lt;&gt;"",Stromkreisliste!Q25&lt;&gt;"")," – ","")&amp;Stromkreisliste!Q25)</f>
        <v/>
      </c>
      <c r="D25" s="42">
        <f>IF(Stromkreisliste!B25="","",IF(Stromkreisliste!F25="FI/RCD","FI "&amp;Stromkreisliste!H25&amp;" A / "&amp;Stromkreisliste!K25&amp;" mA",IF(Stromkreisliste!F25="FI/LS (RCBO)","FI/LS "&amp;Stromkreisliste!G25&amp;Stromkreisliste!H25&amp;" / "&amp;Stromkreisliste!K25&amp;" mA",IF(Stromkreisliste!G25="",Stromkreisliste!F25&amp;IF(Stromkreisliste!H25="",""," "&amp;Stromkreisliste!H25&amp;" A"),Stromkreisliste!G25&amp;Stromkreisliste!H25))))</f>
        <v/>
      </c>
      <c r="E25" s="42">
        <f>IF(Stromkreisliste!B25="","",TRIM(Stromkreisliste!M25&amp;" "&amp;Stromkreisliste!N25))</f>
        <v/>
      </c>
      <c r="F25" s="43" t="n"/>
      <c r="G25" s="43" t="n"/>
      <c r="H25" s="43" t="n"/>
      <c r="I25" s="43" t="n"/>
      <c r="J25" s="44">
        <f>IF(N(I25)&gt;0,$D$5/I25,"")</f>
        <v/>
      </c>
      <c r="K25" s="45">
        <f>IF(OR(Stromkreisliste!B25="",N(Stromkreisliste!H25)=0),"",IFERROR($H$5*$D$5/(Stromkreisliste!H25*INDEX({5,10,20,14,3},MATCH(Stromkreisliste!G25,{"B","C","D","K","Z"},0))),""))</f>
        <v/>
      </c>
      <c r="L25" s="21" t="n"/>
      <c r="M25" s="21" t="n"/>
      <c r="N25" s="21" t="n"/>
      <c r="O25" s="21" t="n"/>
      <c r="P25" s="46">
        <f>IF(COUNTA(F25:I25,L25:O25)=0,"",IF(R25+S25+T25+U25&gt;0,"n.i.O.","i.O."))</f>
        <v/>
      </c>
      <c r="Q25" s="20" t="n"/>
      <c r="R25" s="47">
        <f>IF(OR(AND(ISNUMBER(F25),F25&lt;$F$5),AND(ISNUMBER(G25),G25&lt;$F$5)),1,0)</f>
        <v/>
      </c>
      <c r="S25" s="47">
        <f>IF(AND(ISNUMBER(I25),N(K25)&gt;0,I25&gt;N(K25)),1,0)</f>
        <v/>
      </c>
      <c r="T25" s="47">
        <f>IF(OR(AND(ISNUMBER(L25),N(Stromkreisliste!K25)&gt;0,OR(L25&gt;N(Stromkreisliste!K25),L25&lt;0.5*N(Stromkreisliste!K25))),AND(ISNUMBER(M25),M25&gt;$J$5),AND(ISNUMBER(N25),N25&gt;$L$5)),1,0)</f>
        <v/>
      </c>
      <c r="U25" s="47">
        <f>IF(O25="links",1,0)</f>
        <v/>
      </c>
    </row>
    <row r="26" ht="16" customHeight="1">
      <c r="A26" s="19">
        <f>IF(Stromkreisliste!B26="","",ROW()-6)</f>
        <v/>
      </c>
      <c r="B26" s="41">
        <f>IF(Stromkreisliste!B26="","",Stromkreisliste!B26)</f>
        <v/>
      </c>
      <c r="C26" s="42">
        <f>IF(Stromkreisliste!B26="","",Stromkreisliste!P26&amp;IF(AND(Stromkreisliste!P26&lt;&gt;"",Stromkreisliste!Q26&lt;&gt;"")," – ","")&amp;Stromkreisliste!Q26)</f>
        <v/>
      </c>
      <c r="D26" s="42">
        <f>IF(Stromkreisliste!B26="","",IF(Stromkreisliste!F26="FI/RCD","FI "&amp;Stromkreisliste!H26&amp;" A / "&amp;Stromkreisliste!K26&amp;" mA",IF(Stromkreisliste!F26="FI/LS (RCBO)","FI/LS "&amp;Stromkreisliste!G26&amp;Stromkreisliste!H26&amp;" / "&amp;Stromkreisliste!K26&amp;" mA",IF(Stromkreisliste!G26="",Stromkreisliste!F26&amp;IF(Stromkreisliste!H26="",""," "&amp;Stromkreisliste!H26&amp;" A"),Stromkreisliste!G26&amp;Stromkreisliste!H26))))</f>
        <v/>
      </c>
      <c r="E26" s="42">
        <f>IF(Stromkreisliste!B26="","",TRIM(Stromkreisliste!M26&amp;" "&amp;Stromkreisliste!N26))</f>
        <v/>
      </c>
      <c r="F26" s="43" t="n"/>
      <c r="G26" s="43" t="n"/>
      <c r="H26" s="43" t="n"/>
      <c r="I26" s="43" t="n"/>
      <c r="J26" s="44">
        <f>IF(N(I26)&gt;0,$D$5/I26,"")</f>
        <v/>
      </c>
      <c r="K26" s="45">
        <f>IF(OR(Stromkreisliste!B26="",N(Stromkreisliste!H26)=0),"",IFERROR($H$5*$D$5/(Stromkreisliste!H26*INDEX({5,10,20,14,3},MATCH(Stromkreisliste!G26,{"B","C","D","K","Z"},0))),""))</f>
        <v/>
      </c>
      <c r="L26" s="21" t="n"/>
      <c r="M26" s="21" t="n"/>
      <c r="N26" s="21" t="n"/>
      <c r="O26" s="21" t="n"/>
      <c r="P26" s="46">
        <f>IF(COUNTA(F26:I26,L26:O26)=0,"",IF(R26+S26+T26+U26&gt;0,"n.i.O.","i.O."))</f>
        <v/>
      </c>
      <c r="Q26" s="20" t="n"/>
      <c r="R26" s="47">
        <f>IF(OR(AND(ISNUMBER(F26),F26&lt;$F$5),AND(ISNUMBER(G26),G26&lt;$F$5)),1,0)</f>
        <v/>
      </c>
      <c r="S26" s="47">
        <f>IF(AND(ISNUMBER(I26),N(K26)&gt;0,I26&gt;N(K26)),1,0)</f>
        <v/>
      </c>
      <c r="T26" s="47">
        <f>IF(OR(AND(ISNUMBER(L26),N(Stromkreisliste!K26)&gt;0,OR(L26&gt;N(Stromkreisliste!K26),L26&lt;0.5*N(Stromkreisliste!K26))),AND(ISNUMBER(M26),M26&gt;$J$5),AND(ISNUMBER(N26),N26&gt;$L$5)),1,0)</f>
        <v/>
      </c>
      <c r="U26" s="47">
        <f>IF(O26="links",1,0)</f>
        <v/>
      </c>
    </row>
    <row r="27" ht="16" customHeight="1">
      <c r="A27" s="19">
        <f>IF(Stromkreisliste!B27="","",ROW()-6)</f>
        <v/>
      </c>
      <c r="B27" s="41">
        <f>IF(Stromkreisliste!B27="","",Stromkreisliste!B27)</f>
        <v/>
      </c>
      <c r="C27" s="42">
        <f>IF(Stromkreisliste!B27="","",Stromkreisliste!P27&amp;IF(AND(Stromkreisliste!P27&lt;&gt;"",Stromkreisliste!Q27&lt;&gt;"")," – ","")&amp;Stromkreisliste!Q27)</f>
        <v/>
      </c>
      <c r="D27" s="42">
        <f>IF(Stromkreisliste!B27="","",IF(Stromkreisliste!F27="FI/RCD","FI "&amp;Stromkreisliste!H27&amp;" A / "&amp;Stromkreisliste!K27&amp;" mA",IF(Stromkreisliste!F27="FI/LS (RCBO)","FI/LS "&amp;Stromkreisliste!G27&amp;Stromkreisliste!H27&amp;" / "&amp;Stromkreisliste!K27&amp;" mA",IF(Stromkreisliste!G27="",Stromkreisliste!F27&amp;IF(Stromkreisliste!H27="",""," "&amp;Stromkreisliste!H27&amp;" A"),Stromkreisliste!G27&amp;Stromkreisliste!H27))))</f>
        <v/>
      </c>
      <c r="E27" s="42">
        <f>IF(Stromkreisliste!B27="","",TRIM(Stromkreisliste!M27&amp;" "&amp;Stromkreisliste!N27))</f>
        <v/>
      </c>
      <c r="F27" s="43" t="n"/>
      <c r="G27" s="43" t="n"/>
      <c r="H27" s="43" t="n"/>
      <c r="I27" s="43" t="n"/>
      <c r="J27" s="44">
        <f>IF(N(I27)&gt;0,$D$5/I27,"")</f>
        <v/>
      </c>
      <c r="K27" s="45">
        <f>IF(OR(Stromkreisliste!B27="",N(Stromkreisliste!H27)=0),"",IFERROR($H$5*$D$5/(Stromkreisliste!H27*INDEX({5,10,20,14,3},MATCH(Stromkreisliste!G27,{"B","C","D","K","Z"},0))),""))</f>
        <v/>
      </c>
      <c r="L27" s="21" t="n"/>
      <c r="M27" s="21" t="n"/>
      <c r="N27" s="21" t="n"/>
      <c r="O27" s="21" t="n"/>
      <c r="P27" s="46">
        <f>IF(COUNTA(F27:I27,L27:O27)=0,"",IF(R27+S27+T27+U27&gt;0,"n.i.O.","i.O."))</f>
        <v/>
      </c>
      <c r="Q27" s="20" t="n"/>
      <c r="R27" s="47">
        <f>IF(OR(AND(ISNUMBER(F27),F27&lt;$F$5),AND(ISNUMBER(G27),G27&lt;$F$5)),1,0)</f>
        <v/>
      </c>
      <c r="S27" s="47">
        <f>IF(AND(ISNUMBER(I27),N(K27)&gt;0,I27&gt;N(K27)),1,0)</f>
        <v/>
      </c>
      <c r="T27" s="47">
        <f>IF(OR(AND(ISNUMBER(L27),N(Stromkreisliste!K27)&gt;0,OR(L27&gt;N(Stromkreisliste!K27),L27&lt;0.5*N(Stromkreisliste!K27))),AND(ISNUMBER(M27),M27&gt;$J$5),AND(ISNUMBER(N27),N27&gt;$L$5)),1,0)</f>
        <v/>
      </c>
      <c r="U27" s="47">
        <f>IF(O27="links",1,0)</f>
        <v/>
      </c>
    </row>
    <row r="28" ht="16" customHeight="1">
      <c r="A28" s="19">
        <f>IF(Stromkreisliste!B28="","",ROW()-6)</f>
        <v/>
      </c>
      <c r="B28" s="41">
        <f>IF(Stromkreisliste!B28="","",Stromkreisliste!B28)</f>
        <v/>
      </c>
      <c r="C28" s="42">
        <f>IF(Stromkreisliste!B28="","",Stromkreisliste!P28&amp;IF(AND(Stromkreisliste!P28&lt;&gt;"",Stromkreisliste!Q28&lt;&gt;"")," – ","")&amp;Stromkreisliste!Q28)</f>
        <v/>
      </c>
      <c r="D28" s="42">
        <f>IF(Stromkreisliste!B28="","",IF(Stromkreisliste!F28="FI/RCD","FI "&amp;Stromkreisliste!H28&amp;" A / "&amp;Stromkreisliste!K28&amp;" mA",IF(Stromkreisliste!F28="FI/LS (RCBO)","FI/LS "&amp;Stromkreisliste!G28&amp;Stromkreisliste!H28&amp;" / "&amp;Stromkreisliste!K28&amp;" mA",IF(Stromkreisliste!G28="",Stromkreisliste!F28&amp;IF(Stromkreisliste!H28="",""," "&amp;Stromkreisliste!H28&amp;" A"),Stromkreisliste!G28&amp;Stromkreisliste!H28))))</f>
        <v/>
      </c>
      <c r="E28" s="42">
        <f>IF(Stromkreisliste!B28="","",TRIM(Stromkreisliste!M28&amp;" "&amp;Stromkreisliste!N28))</f>
        <v/>
      </c>
      <c r="F28" s="43" t="n"/>
      <c r="G28" s="43" t="n"/>
      <c r="H28" s="43" t="n"/>
      <c r="I28" s="43" t="n"/>
      <c r="J28" s="44">
        <f>IF(N(I28)&gt;0,$D$5/I28,"")</f>
        <v/>
      </c>
      <c r="K28" s="45">
        <f>IF(OR(Stromkreisliste!B28="",N(Stromkreisliste!H28)=0),"",IFERROR($H$5*$D$5/(Stromkreisliste!H28*INDEX({5,10,20,14,3},MATCH(Stromkreisliste!G28,{"B","C","D","K","Z"},0))),""))</f>
        <v/>
      </c>
      <c r="L28" s="21" t="n"/>
      <c r="M28" s="21" t="n"/>
      <c r="N28" s="21" t="n"/>
      <c r="O28" s="21" t="n"/>
      <c r="P28" s="46">
        <f>IF(COUNTA(F28:I28,L28:O28)=0,"",IF(R28+S28+T28+U28&gt;0,"n.i.O.","i.O."))</f>
        <v/>
      </c>
      <c r="Q28" s="20" t="n"/>
      <c r="R28" s="47">
        <f>IF(OR(AND(ISNUMBER(F28),F28&lt;$F$5),AND(ISNUMBER(G28),G28&lt;$F$5)),1,0)</f>
        <v/>
      </c>
      <c r="S28" s="47">
        <f>IF(AND(ISNUMBER(I28),N(K28)&gt;0,I28&gt;N(K28)),1,0)</f>
        <v/>
      </c>
      <c r="T28" s="47">
        <f>IF(OR(AND(ISNUMBER(L28),N(Stromkreisliste!K28)&gt;0,OR(L28&gt;N(Stromkreisliste!K28),L28&lt;0.5*N(Stromkreisliste!K28))),AND(ISNUMBER(M28),M28&gt;$J$5),AND(ISNUMBER(N28),N28&gt;$L$5)),1,0)</f>
        <v/>
      </c>
      <c r="U28" s="47">
        <f>IF(O28="links",1,0)</f>
        <v/>
      </c>
    </row>
    <row r="29" ht="16" customHeight="1">
      <c r="A29" s="19">
        <f>IF(Stromkreisliste!B29="","",ROW()-6)</f>
        <v/>
      </c>
      <c r="B29" s="41">
        <f>IF(Stromkreisliste!B29="","",Stromkreisliste!B29)</f>
        <v/>
      </c>
      <c r="C29" s="42">
        <f>IF(Stromkreisliste!B29="","",Stromkreisliste!P29&amp;IF(AND(Stromkreisliste!P29&lt;&gt;"",Stromkreisliste!Q29&lt;&gt;"")," – ","")&amp;Stromkreisliste!Q29)</f>
        <v/>
      </c>
      <c r="D29" s="42">
        <f>IF(Stromkreisliste!B29="","",IF(Stromkreisliste!F29="FI/RCD","FI "&amp;Stromkreisliste!H29&amp;" A / "&amp;Stromkreisliste!K29&amp;" mA",IF(Stromkreisliste!F29="FI/LS (RCBO)","FI/LS "&amp;Stromkreisliste!G29&amp;Stromkreisliste!H29&amp;" / "&amp;Stromkreisliste!K29&amp;" mA",IF(Stromkreisliste!G29="",Stromkreisliste!F29&amp;IF(Stromkreisliste!H29="",""," "&amp;Stromkreisliste!H29&amp;" A"),Stromkreisliste!G29&amp;Stromkreisliste!H29))))</f>
        <v/>
      </c>
      <c r="E29" s="42">
        <f>IF(Stromkreisliste!B29="","",TRIM(Stromkreisliste!M29&amp;" "&amp;Stromkreisliste!N29))</f>
        <v/>
      </c>
      <c r="F29" s="43" t="n"/>
      <c r="G29" s="43" t="n"/>
      <c r="H29" s="43" t="n"/>
      <c r="I29" s="43" t="n"/>
      <c r="J29" s="44">
        <f>IF(N(I29)&gt;0,$D$5/I29,"")</f>
        <v/>
      </c>
      <c r="K29" s="45">
        <f>IF(OR(Stromkreisliste!B29="",N(Stromkreisliste!H29)=0),"",IFERROR($H$5*$D$5/(Stromkreisliste!H29*INDEX({5,10,20,14,3},MATCH(Stromkreisliste!G29,{"B","C","D","K","Z"},0))),""))</f>
        <v/>
      </c>
      <c r="L29" s="21" t="n"/>
      <c r="M29" s="21" t="n"/>
      <c r="N29" s="21" t="n"/>
      <c r="O29" s="21" t="n"/>
      <c r="P29" s="46">
        <f>IF(COUNTA(F29:I29,L29:O29)=0,"",IF(R29+S29+T29+U29&gt;0,"n.i.O.","i.O."))</f>
        <v/>
      </c>
      <c r="Q29" s="20" t="n"/>
      <c r="R29" s="47">
        <f>IF(OR(AND(ISNUMBER(F29),F29&lt;$F$5),AND(ISNUMBER(G29),G29&lt;$F$5)),1,0)</f>
        <v/>
      </c>
      <c r="S29" s="47">
        <f>IF(AND(ISNUMBER(I29),N(K29)&gt;0,I29&gt;N(K29)),1,0)</f>
        <v/>
      </c>
      <c r="T29" s="47">
        <f>IF(OR(AND(ISNUMBER(L29),N(Stromkreisliste!K29)&gt;0,OR(L29&gt;N(Stromkreisliste!K29),L29&lt;0.5*N(Stromkreisliste!K29))),AND(ISNUMBER(M29),M29&gt;$J$5),AND(ISNUMBER(N29),N29&gt;$L$5)),1,0)</f>
        <v/>
      </c>
      <c r="U29" s="47">
        <f>IF(O29="links",1,0)</f>
        <v/>
      </c>
    </row>
    <row r="30" ht="16" customHeight="1">
      <c r="A30" s="19">
        <f>IF(Stromkreisliste!B30="","",ROW()-6)</f>
        <v/>
      </c>
      <c r="B30" s="41">
        <f>IF(Stromkreisliste!B30="","",Stromkreisliste!B30)</f>
        <v/>
      </c>
      <c r="C30" s="42">
        <f>IF(Stromkreisliste!B30="","",Stromkreisliste!P30&amp;IF(AND(Stromkreisliste!P30&lt;&gt;"",Stromkreisliste!Q30&lt;&gt;"")," – ","")&amp;Stromkreisliste!Q30)</f>
        <v/>
      </c>
      <c r="D30" s="42">
        <f>IF(Stromkreisliste!B30="","",IF(Stromkreisliste!F30="FI/RCD","FI "&amp;Stromkreisliste!H30&amp;" A / "&amp;Stromkreisliste!K30&amp;" mA",IF(Stromkreisliste!F30="FI/LS (RCBO)","FI/LS "&amp;Stromkreisliste!G30&amp;Stromkreisliste!H30&amp;" / "&amp;Stromkreisliste!K30&amp;" mA",IF(Stromkreisliste!G30="",Stromkreisliste!F30&amp;IF(Stromkreisliste!H30="",""," "&amp;Stromkreisliste!H30&amp;" A"),Stromkreisliste!G30&amp;Stromkreisliste!H30))))</f>
        <v/>
      </c>
      <c r="E30" s="42">
        <f>IF(Stromkreisliste!B30="","",TRIM(Stromkreisliste!M30&amp;" "&amp;Stromkreisliste!N30))</f>
        <v/>
      </c>
      <c r="F30" s="43" t="n"/>
      <c r="G30" s="43" t="n"/>
      <c r="H30" s="43" t="n"/>
      <c r="I30" s="43" t="n"/>
      <c r="J30" s="44">
        <f>IF(N(I30)&gt;0,$D$5/I30,"")</f>
        <v/>
      </c>
      <c r="K30" s="45">
        <f>IF(OR(Stromkreisliste!B30="",N(Stromkreisliste!H30)=0),"",IFERROR($H$5*$D$5/(Stromkreisliste!H30*INDEX({5,10,20,14,3},MATCH(Stromkreisliste!G30,{"B","C","D","K","Z"},0))),""))</f>
        <v/>
      </c>
      <c r="L30" s="21" t="n"/>
      <c r="M30" s="21" t="n"/>
      <c r="N30" s="21" t="n"/>
      <c r="O30" s="21" t="n"/>
      <c r="P30" s="46">
        <f>IF(COUNTA(F30:I30,L30:O30)=0,"",IF(R30+S30+T30+U30&gt;0,"n.i.O.","i.O."))</f>
        <v/>
      </c>
      <c r="Q30" s="20" t="n"/>
      <c r="R30" s="47">
        <f>IF(OR(AND(ISNUMBER(F30),F30&lt;$F$5),AND(ISNUMBER(G30),G30&lt;$F$5)),1,0)</f>
        <v/>
      </c>
      <c r="S30" s="47">
        <f>IF(AND(ISNUMBER(I30),N(K30)&gt;0,I30&gt;N(K30)),1,0)</f>
        <v/>
      </c>
      <c r="T30" s="47">
        <f>IF(OR(AND(ISNUMBER(L30),N(Stromkreisliste!K30)&gt;0,OR(L30&gt;N(Stromkreisliste!K30),L30&lt;0.5*N(Stromkreisliste!K30))),AND(ISNUMBER(M30),M30&gt;$J$5),AND(ISNUMBER(N30),N30&gt;$L$5)),1,0)</f>
        <v/>
      </c>
      <c r="U30" s="47">
        <f>IF(O30="links",1,0)</f>
        <v/>
      </c>
    </row>
    <row r="31" ht="16" customHeight="1">
      <c r="A31" s="19">
        <f>IF(Stromkreisliste!B31="","",ROW()-6)</f>
        <v/>
      </c>
      <c r="B31" s="41">
        <f>IF(Stromkreisliste!B31="","",Stromkreisliste!B31)</f>
        <v/>
      </c>
      <c r="C31" s="42">
        <f>IF(Stromkreisliste!B31="","",Stromkreisliste!P31&amp;IF(AND(Stromkreisliste!P31&lt;&gt;"",Stromkreisliste!Q31&lt;&gt;"")," – ","")&amp;Stromkreisliste!Q31)</f>
        <v/>
      </c>
      <c r="D31" s="42">
        <f>IF(Stromkreisliste!B31="","",IF(Stromkreisliste!F31="FI/RCD","FI "&amp;Stromkreisliste!H31&amp;" A / "&amp;Stromkreisliste!K31&amp;" mA",IF(Stromkreisliste!F31="FI/LS (RCBO)","FI/LS "&amp;Stromkreisliste!G31&amp;Stromkreisliste!H31&amp;" / "&amp;Stromkreisliste!K31&amp;" mA",IF(Stromkreisliste!G31="",Stromkreisliste!F31&amp;IF(Stromkreisliste!H31="",""," "&amp;Stromkreisliste!H31&amp;" A"),Stromkreisliste!G31&amp;Stromkreisliste!H31))))</f>
        <v/>
      </c>
      <c r="E31" s="42">
        <f>IF(Stromkreisliste!B31="","",TRIM(Stromkreisliste!M31&amp;" "&amp;Stromkreisliste!N31))</f>
        <v/>
      </c>
      <c r="F31" s="43" t="n"/>
      <c r="G31" s="43" t="n"/>
      <c r="H31" s="43" t="n"/>
      <c r="I31" s="43" t="n"/>
      <c r="J31" s="44">
        <f>IF(N(I31)&gt;0,$D$5/I31,"")</f>
        <v/>
      </c>
      <c r="K31" s="45">
        <f>IF(OR(Stromkreisliste!B31="",N(Stromkreisliste!H31)=0),"",IFERROR($H$5*$D$5/(Stromkreisliste!H31*INDEX({5,10,20,14,3},MATCH(Stromkreisliste!G31,{"B","C","D","K","Z"},0))),""))</f>
        <v/>
      </c>
      <c r="L31" s="21" t="n"/>
      <c r="M31" s="21" t="n"/>
      <c r="N31" s="21" t="n"/>
      <c r="O31" s="21" t="n"/>
      <c r="P31" s="46">
        <f>IF(COUNTA(F31:I31,L31:O31)=0,"",IF(R31+S31+T31+U31&gt;0,"n.i.O.","i.O."))</f>
        <v/>
      </c>
      <c r="Q31" s="20" t="n"/>
      <c r="R31" s="47">
        <f>IF(OR(AND(ISNUMBER(F31),F31&lt;$F$5),AND(ISNUMBER(G31),G31&lt;$F$5)),1,0)</f>
        <v/>
      </c>
      <c r="S31" s="47">
        <f>IF(AND(ISNUMBER(I31),N(K31)&gt;0,I31&gt;N(K31)),1,0)</f>
        <v/>
      </c>
      <c r="T31" s="47">
        <f>IF(OR(AND(ISNUMBER(L31),N(Stromkreisliste!K31)&gt;0,OR(L31&gt;N(Stromkreisliste!K31),L31&lt;0.5*N(Stromkreisliste!K31))),AND(ISNUMBER(M31),M31&gt;$J$5),AND(ISNUMBER(N31),N31&gt;$L$5)),1,0)</f>
        <v/>
      </c>
      <c r="U31" s="47">
        <f>IF(O31="links",1,0)</f>
        <v/>
      </c>
    </row>
    <row r="32" ht="16" customHeight="1">
      <c r="A32" s="19">
        <f>IF(Stromkreisliste!B32="","",ROW()-6)</f>
        <v/>
      </c>
      <c r="B32" s="41">
        <f>IF(Stromkreisliste!B32="","",Stromkreisliste!B32)</f>
        <v/>
      </c>
      <c r="C32" s="42">
        <f>IF(Stromkreisliste!B32="","",Stromkreisliste!P32&amp;IF(AND(Stromkreisliste!P32&lt;&gt;"",Stromkreisliste!Q32&lt;&gt;"")," – ","")&amp;Stromkreisliste!Q32)</f>
        <v/>
      </c>
      <c r="D32" s="42">
        <f>IF(Stromkreisliste!B32="","",IF(Stromkreisliste!F32="FI/RCD","FI "&amp;Stromkreisliste!H32&amp;" A / "&amp;Stromkreisliste!K32&amp;" mA",IF(Stromkreisliste!F32="FI/LS (RCBO)","FI/LS "&amp;Stromkreisliste!G32&amp;Stromkreisliste!H32&amp;" / "&amp;Stromkreisliste!K32&amp;" mA",IF(Stromkreisliste!G32="",Stromkreisliste!F32&amp;IF(Stromkreisliste!H32="",""," "&amp;Stromkreisliste!H32&amp;" A"),Stromkreisliste!G32&amp;Stromkreisliste!H32))))</f>
        <v/>
      </c>
      <c r="E32" s="42">
        <f>IF(Stromkreisliste!B32="","",TRIM(Stromkreisliste!M32&amp;" "&amp;Stromkreisliste!N32))</f>
        <v/>
      </c>
      <c r="F32" s="43" t="n"/>
      <c r="G32" s="43" t="n"/>
      <c r="H32" s="43" t="n"/>
      <c r="I32" s="43" t="n"/>
      <c r="J32" s="44">
        <f>IF(N(I32)&gt;0,$D$5/I32,"")</f>
        <v/>
      </c>
      <c r="K32" s="45">
        <f>IF(OR(Stromkreisliste!B32="",N(Stromkreisliste!H32)=0),"",IFERROR($H$5*$D$5/(Stromkreisliste!H32*INDEX({5,10,20,14,3},MATCH(Stromkreisliste!G32,{"B","C","D","K","Z"},0))),""))</f>
        <v/>
      </c>
      <c r="L32" s="21" t="n"/>
      <c r="M32" s="21" t="n"/>
      <c r="N32" s="21" t="n"/>
      <c r="O32" s="21" t="n"/>
      <c r="P32" s="46">
        <f>IF(COUNTA(F32:I32,L32:O32)=0,"",IF(R32+S32+T32+U32&gt;0,"n.i.O.","i.O."))</f>
        <v/>
      </c>
      <c r="Q32" s="20" t="n"/>
      <c r="R32" s="47">
        <f>IF(OR(AND(ISNUMBER(F32),F32&lt;$F$5),AND(ISNUMBER(G32),G32&lt;$F$5)),1,0)</f>
        <v/>
      </c>
      <c r="S32" s="47">
        <f>IF(AND(ISNUMBER(I32),N(K32)&gt;0,I32&gt;N(K32)),1,0)</f>
        <v/>
      </c>
      <c r="T32" s="47">
        <f>IF(OR(AND(ISNUMBER(L32),N(Stromkreisliste!K32)&gt;0,OR(L32&gt;N(Stromkreisliste!K32),L32&lt;0.5*N(Stromkreisliste!K32))),AND(ISNUMBER(M32),M32&gt;$J$5),AND(ISNUMBER(N32),N32&gt;$L$5)),1,0)</f>
        <v/>
      </c>
      <c r="U32" s="47">
        <f>IF(O32="links",1,0)</f>
        <v/>
      </c>
    </row>
    <row r="33" ht="16" customHeight="1">
      <c r="A33" s="19">
        <f>IF(Stromkreisliste!B33="","",ROW()-6)</f>
        <v/>
      </c>
      <c r="B33" s="41">
        <f>IF(Stromkreisliste!B33="","",Stromkreisliste!B33)</f>
        <v/>
      </c>
      <c r="C33" s="42">
        <f>IF(Stromkreisliste!B33="","",Stromkreisliste!P33&amp;IF(AND(Stromkreisliste!P33&lt;&gt;"",Stromkreisliste!Q33&lt;&gt;"")," – ","")&amp;Stromkreisliste!Q33)</f>
        <v/>
      </c>
      <c r="D33" s="42">
        <f>IF(Stromkreisliste!B33="","",IF(Stromkreisliste!F33="FI/RCD","FI "&amp;Stromkreisliste!H33&amp;" A / "&amp;Stromkreisliste!K33&amp;" mA",IF(Stromkreisliste!F33="FI/LS (RCBO)","FI/LS "&amp;Stromkreisliste!G33&amp;Stromkreisliste!H33&amp;" / "&amp;Stromkreisliste!K33&amp;" mA",IF(Stromkreisliste!G33="",Stromkreisliste!F33&amp;IF(Stromkreisliste!H33="",""," "&amp;Stromkreisliste!H33&amp;" A"),Stromkreisliste!G33&amp;Stromkreisliste!H33))))</f>
        <v/>
      </c>
      <c r="E33" s="42">
        <f>IF(Stromkreisliste!B33="","",TRIM(Stromkreisliste!M33&amp;" "&amp;Stromkreisliste!N33))</f>
        <v/>
      </c>
      <c r="F33" s="43" t="n"/>
      <c r="G33" s="43" t="n"/>
      <c r="H33" s="43" t="n"/>
      <c r="I33" s="43" t="n"/>
      <c r="J33" s="44">
        <f>IF(N(I33)&gt;0,$D$5/I33,"")</f>
        <v/>
      </c>
      <c r="K33" s="45">
        <f>IF(OR(Stromkreisliste!B33="",N(Stromkreisliste!H33)=0),"",IFERROR($H$5*$D$5/(Stromkreisliste!H33*INDEX({5,10,20,14,3},MATCH(Stromkreisliste!G33,{"B","C","D","K","Z"},0))),""))</f>
        <v/>
      </c>
      <c r="L33" s="21" t="n"/>
      <c r="M33" s="21" t="n"/>
      <c r="N33" s="21" t="n"/>
      <c r="O33" s="21" t="n"/>
      <c r="P33" s="46">
        <f>IF(COUNTA(F33:I33,L33:O33)=0,"",IF(R33+S33+T33+U33&gt;0,"n.i.O.","i.O."))</f>
        <v/>
      </c>
      <c r="Q33" s="20" t="n"/>
      <c r="R33" s="47">
        <f>IF(OR(AND(ISNUMBER(F33),F33&lt;$F$5),AND(ISNUMBER(G33),G33&lt;$F$5)),1,0)</f>
        <v/>
      </c>
      <c r="S33" s="47">
        <f>IF(AND(ISNUMBER(I33),N(K33)&gt;0,I33&gt;N(K33)),1,0)</f>
        <v/>
      </c>
      <c r="T33" s="47">
        <f>IF(OR(AND(ISNUMBER(L33),N(Stromkreisliste!K33)&gt;0,OR(L33&gt;N(Stromkreisliste!K33),L33&lt;0.5*N(Stromkreisliste!K33))),AND(ISNUMBER(M33),M33&gt;$J$5),AND(ISNUMBER(N33),N33&gt;$L$5)),1,0)</f>
        <v/>
      </c>
      <c r="U33" s="47">
        <f>IF(O33="links",1,0)</f>
        <v/>
      </c>
    </row>
    <row r="34" ht="16" customHeight="1">
      <c r="A34" s="19">
        <f>IF(Stromkreisliste!B34="","",ROW()-6)</f>
        <v/>
      </c>
      <c r="B34" s="41">
        <f>IF(Stromkreisliste!B34="","",Stromkreisliste!B34)</f>
        <v/>
      </c>
      <c r="C34" s="42">
        <f>IF(Stromkreisliste!B34="","",Stromkreisliste!P34&amp;IF(AND(Stromkreisliste!P34&lt;&gt;"",Stromkreisliste!Q34&lt;&gt;"")," – ","")&amp;Stromkreisliste!Q34)</f>
        <v/>
      </c>
      <c r="D34" s="42">
        <f>IF(Stromkreisliste!B34="","",IF(Stromkreisliste!F34="FI/RCD","FI "&amp;Stromkreisliste!H34&amp;" A / "&amp;Stromkreisliste!K34&amp;" mA",IF(Stromkreisliste!F34="FI/LS (RCBO)","FI/LS "&amp;Stromkreisliste!G34&amp;Stromkreisliste!H34&amp;" / "&amp;Stromkreisliste!K34&amp;" mA",IF(Stromkreisliste!G34="",Stromkreisliste!F34&amp;IF(Stromkreisliste!H34="",""," "&amp;Stromkreisliste!H34&amp;" A"),Stromkreisliste!G34&amp;Stromkreisliste!H34))))</f>
        <v/>
      </c>
      <c r="E34" s="42">
        <f>IF(Stromkreisliste!B34="","",TRIM(Stromkreisliste!M34&amp;" "&amp;Stromkreisliste!N34))</f>
        <v/>
      </c>
      <c r="F34" s="43" t="n"/>
      <c r="G34" s="43" t="n"/>
      <c r="H34" s="43" t="n"/>
      <c r="I34" s="43" t="n"/>
      <c r="J34" s="44">
        <f>IF(N(I34)&gt;0,$D$5/I34,"")</f>
        <v/>
      </c>
      <c r="K34" s="45">
        <f>IF(OR(Stromkreisliste!B34="",N(Stromkreisliste!H34)=0),"",IFERROR($H$5*$D$5/(Stromkreisliste!H34*INDEX({5,10,20,14,3},MATCH(Stromkreisliste!G34,{"B","C","D","K","Z"},0))),""))</f>
        <v/>
      </c>
      <c r="L34" s="21" t="n"/>
      <c r="M34" s="21" t="n"/>
      <c r="N34" s="21" t="n"/>
      <c r="O34" s="21" t="n"/>
      <c r="P34" s="46">
        <f>IF(COUNTA(F34:I34,L34:O34)=0,"",IF(R34+S34+T34+U34&gt;0,"n.i.O.","i.O."))</f>
        <v/>
      </c>
      <c r="Q34" s="20" t="n"/>
      <c r="R34" s="47">
        <f>IF(OR(AND(ISNUMBER(F34),F34&lt;$F$5),AND(ISNUMBER(G34),G34&lt;$F$5)),1,0)</f>
        <v/>
      </c>
      <c r="S34" s="47">
        <f>IF(AND(ISNUMBER(I34),N(K34)&gt;0,I34&gt;N(K34)),1,0)</f>
        <v/>
      </c>
      <c r="T34" s="47">
        <f>IF(OR(AND(ISNUMBER(L34),N(Stromkreisliste!K34)&gt;0,OR(L34&gt;N(Stromkreisliste!K34),L34&lt;0.5*N(Stromkreisliste!K34))),AND(ISNUMBER(M34),M34&gt;$J$5),AND(ISNUMBER(N34),N34&gt;$L$5)),1,0)</f>
        <v/>
      </c>
      <c r="U34" s="47">
        <f>IF(O34="links",1,0)</f>
        <v/>
      </c>
    </row>
    <row r="35" ht="16" customHeight="1">
      <c r="A35" s="19">
        <f>IF(Stromkreisliste!B35="","",ROW()-6)</f>
        <v/>
      </c>
      <c r="B35" s="41">
        <f>IF(Stromkreisliste!B35="","",Stromkreisliste!B35)</f>
        <v/>
      </c>
      <c r="C35" s="42">
        <f>IF(Stromkreisliste!B35="","",Stromkreisliste!P35&amp;IF(AND(Stromkreisliste!P35&lt;&gt;"",Stromkreisliste!Q35&lt;&gt;"")," – ","")&amp;Stromkreisliste!Q35)</f>
        <v/>
      </c>
      <c r="D35" s="42">
        <f>IF(Stromkreisliste!B35="","",IF(Stromkreisliste!F35="FI/RCD","FI "&amp;Stromkreisliste!H35&amp;" A / "&amp;Stromkreisliste!K35&amp;" mA",IF(Stromkreisliste!F35="FI/LS (RCBO)","FI/LS "&amp;Stromkreisliste!G35&amp;Stromkreisliste!H35&amp;" / "&amp;Stromkreisliste!K35&amp;" mA",IF(Stromkreisliste!G35="",Stromkreisliste!F35&amp;IF(Stromkreisliste!H35="",""," "&amp;Stromkreisliste!H35&amp;" A"),Stromkreisliste!G35&amp;Stromkreisliste!H35))))</f>
        <v/>
      </c>
      <c r="E35" s="42">
        <f>IF(Stromkreisliste!B35="","",TRIM(Stromkreisliste!M35&amp;" "&amp;Stromkreisliste!N35))</f>
        <v/>
      </c>
      <c r="F35" s="43" t="n"/>
      <c r="G35" s="43" t="n"/>
      <c r="H35" s="43" t="n"/>
      <c r="I35" s="43" t="n"/>
      <c r="J35" s="44">
        <f>IF(N(I35)&gt;0,$D$5/I35,"")</f>
        <v/>
      </c>
      <c r="K35" s="45">
        <f>IF(OR(Stromkreisliste!B35="",N(Stromkreisliste!H35)=0),"",IFERROR($H$5*$D$5/(Stromkreisliste!H35*INDEX({5,10,20,14,3},MATCH(Stromkreisliste!G35,{"B","C","D","K","Z"},0))),""))</f>
        <v/>
      </c>
      <c r="L35" s="21" t="n"/>
      <c r="M35" s="21" t="n"/>
      <c r="N35" s="21" t="n"/>
      <c r="O35" s="21" t="n"/>
      <c r="P35" s="46">
        <f>IF(COUNTA(F35:I35,L35:O35)=0,"",IF(R35+S35+T35+U35&gt;0,"n.i.O.","i.O."))</f>
        <v/>
      </c>
      <c r="Q35" s="20" t="n"/>
      <c r="R35" s="47">
        <f>IF(OR(AND(ISNUMBER(F35),F35&lt;$F$5),AND(ISNUMBER(G35),G35&lt;$F$5)),1,0)</f>
        <v/>
      </c>
      <c r="S35" s="47">
        <f>IF(AND(ISNUMBER(I35),N(K35)&gt;0,I35&gt;N(K35)),1,0)</f>
        <v/>
      </c>
      <c r="T35" s="47">
        <f>IF(OR(AND(ISNUMBER(L35),N(Stromkreisliste!K35)&gt;0,OR(L35&gt;N(Stromkreisliste!K35),L35&lt;0.5*N(Stromkreisliste!K35))),AND(ISNUMBER(M35),M35&gt;$J$5),AND(ISNUMBER(N35),N35&gt;$L$5)),1,0)</f>
        <v/>
      </c>
      <c r="U35" s="47">
        <f>IF(O35="links",1,0)</f>
        <v/>
      </c>
    </row>
    <row r="36" ht="16" customHeight="1">
      <c r="A36" s="19">
        <f>IF(Stromkreisliste!B36="","",ROW()-6)</f>
        <v/>
      </c>
      <c r="B36" s="41">
        <f>IF(Stromkreisliste!B36="","",Stromkreisliste!B36)</f>
        <v/>
      </c>
      <c r="C36" s="42">
        <f>IF(Stromkreisliste!B36="","",Stromkreisliste!P36&amp;IF(AND(Stromkreisliste!P36&lt;&gt;"",Stromkreisliste!Q36&lt;&gt;"")," – ","")&amp;Stromkreisliste!Q36)</f>
        <v/>
      </c>
      <c r="D36" s="42">
        <f>IF(Stromkreisliste!B36="","",IF(Stromkreisliste!F36="FI/RCD","FI "&amp;Stromkreisliste!H36&amp;" A / "&amp;Stromkreisliste!K36&amp;" mA",IF(Stromkreisliste!F36="FI/LS (RCBO)","FI/LS "&amp;Stromkreisliste!G36&amp;Stromkreisliste!H36&amp;" / "&amp;Stromkreisliste!K36&amp;" mA",IF(Stromkreisliste!G36="",Stromkreisliste!F36&amp;IF(Stromkreisliste!H36="",""," "&amp;Stromkreisliste!H36&amp;" A"),Stromkreisliste!G36&amp;Stromkreisliste!H36))))</f>
        <v/>
      </c>
      <c r="E36" s="42">
        <f>IF(Stromkreisliste!B36="","",TRIM(Stromkreisliste!M36&amp;" "&amp;Stromkreisliste!N36))</f>
        <v/>
      </c>
      <c r="F36" s="43" t="n"/>
      <c r="G36" s="43" t="n"/>
      <c r="H36" s="43" t="n"/>
      <c r="I36" s="43" t="n"/>
      <c r="J36" s="44">
        <f>IF(N(I36)&gt;0,$D$5/I36,"")</f>
        <v/>
      </c>
      <c r="K36" s="45">
        <f>IF(OR(Stromkreisliste!B36="",N(Stromkreisliste!H36)=0),"",IFERROR($H$5*$D$5/(Stromkreisliste!H36*INDEX({5,10,20,14,3},MATCH(Stromkreisliste!G36,{"B","C","D","K","Z"},0))),""))</f>
        <v/>
      </c>
      <c r="L36" s="21" t="n"/>
      <c r="M36" s="21" t="n"/>
      <c r="N36" s="21" t="n"/>
      <c r="O36" s="21" t="n"/>
      <c r="P36" s="46">
        <f>IF(COUNTA(F36:I36,L36:O36)=0,"",IF(R36+S36+T36+U36&gt;0,"n.i.O.","i.O."))</f>
        <v/>
      </c>
      <c r="Q36" s="20" t="n"/>
      <c r="R36" s="47">
        <f>IF(OR(AND(ISNUMBER(F36),F36&lt;$F$5),AND(ISNUMBER(G36),G36&lt;$F$5)),1,0)</f>
        <v/>
      </c>
      <c r="S36" s="47">
        <f>IF(AND(ISNUMBER(I36),N(K36)&gt;0,I36&gt;N(K36)),1,0)</f>
        <v/>
      </c>
      <c r="T36" s="47">
        <f>IF(OR(AND(ISNUMBER(L36),N(Stromkreisliste!K36)&gt;0,OR(L36&gt;N(Stromkreisliste!K36),L36&lt;0.5*N(Stromkreisliste!K36))),AND(ISNUMBER(M36),M36&gt;$J$5),AND(ISNUMBER(N36),N36&gt;$L$5)),1,0)</f>
        <v/>
      </c>
      <c r="U36" s="47">
        <f>IF(O36="links",1,0)</f>
        <v/>
      </c>
    </row>
    <row r="37" ht="16" customHeight="1">
      <c r="A37" s="19">
        <f>IF(Stromkreisliste!B37="","",ROW()-6)</f>
        <v/>
      </c>
      <c r="B37" s="41">
        <f>IF(Stromkreisliste!B37="","",Stromkreisliste!B37)</f>
        <v/>
      </c>
      <c r="C37" s="42">
        <f>IF(Stromkreisliste!B37="","",Stromkreisliste!P37&amp;IF(AND(Stromkreisliste!P37&lt;&gt;"",Stromkreisliste!Q37&lt;&gt;"")," – ","")&amp;Stromkreisliste!Q37)</f>
        <v/>
      </c>
      <c r="D37" s="42">
        <f>IF(Stromkreisliste!B37="","",IF(Stromkreisliste!F37="FI/RCD","FI "&amp;Stromkreisliste!H37&amp;" A / "&amp;Stromkreisliste!K37&amp;" mA",IF(Stromkreisliste!F37="FI/LS (RCBO)","FI/LS "&amp;Stromkreisliste!G37&amp;Stromkreisliste!H37&amp;" / "&amp;Stromkreisliste!K37&amp;" mA",IF(Stromkreisliste!G37="",Stromkreisliste!F37&amp;IF(Stromkreisliste!H37="",""," "&amp;Stromkreisliste!H37&amp;" A"),Stromkreisliste!G37&amp;Stromkreisliste!H37))))</f>
        <v/>
      </c>
      <c r="E37" s="42">
        <f>IF(Stromkreisliste!B37="","",TRIM(Stromkreisliste!M37&amp;" "&amp;Stromkreisliste!N37))</f>
        <v/>
      </c>
      <c r="F37" s="43" t="n"/>
      <c r="G37" s="43" t="n"/>
      <c r="H37" s="43" t="n"/>
      <c r="I37" s="43" t="n"/>
      <c r="J37" s="44">
        <f>IF(N(I37)&gt;0,$D$5/I37,"")</f>
        <v/>
      </c>
      <c r="K37" s="45">
        <f>IF(OR(Stromkreisliste!B37="",N(Stromkreisliste!H37)=0),"",IFERROR($H$5*$D$5/(Stromkreisliste!H37*INDEX({5,10,20,14,3},MATCH(Stromkreisliste!G37,{"B","C","D","K","Z"},0))),""))</f>
        <v/>
      </c>
      <c r="L37" s="21" t="n"/>
      <c r="M37" s="21" t="n"/>
      <c r="N37" s="21" t="n"/>
      <c r="O37" s="21" t="n"/>
      <c r="P37" s="46">
        <f>IF(COUNTA(F37:I37,L37:O37)=0,"",IF(R37+S37+T37+U37&gt;0,"n.i.O.","i.O."))</f>
        <v/>
      </c>
      <c r="Q37" s="20" t="n"/>
      <c r="R37" s="47">
        <f>IF(OR(AND(ISNUMBER(F37),F37&lt;$F$5),AND(ISNUMBER(G37),G37&lt;$F$5)),1,0)</f>
        <v/>
      </c>
      <c r="S37" s="47">
        <f>IF(AND(ISNUMBER(I37),N(K37)&gt;0,I37&gt;N(K37)),1,0)</f>
        <v/>
      </c>
      <c r="T37" s="47">
        <f>IF(OR(AND(ISNUMBER(L37),N(Stromkreisliste!K37)&gt;0,OR(L37&gt;N(Stromkreisliste!K37),L37&lt;0.5*N(Stromkreisliste!K37))),AND(ISNUMBER(M37),M37&gt;$J$5),AND(ISNUMBER(N37),N37&gt;$L$5)),1,0)</f>
        <v/>
      </c>
      <c r="U37" s="47">
        <f>IF(O37="links",1,0)</f>
        <v/>
      </c>
    </row>
    <row r="38" ht="16" customHeight="1">
      <c r="A38" s="19">
        <f>IF(Stromkreisliste!B38="","",ROW()-6)</f>
        <v/>
      </c>
      <c r="B38" s="41">
        <f>IF(Stromkreisliste!B38="","",Stromkreisliste!B38)</f>
        <v/>
      </c>
      <c r="C38" s="42">
        <f>IF(Stromkreisliste!B38="","",Stromkreisliste!P38&amp;IF(AND(Stromkreisliste!P38&lt;&gt;"",Stromkreisliste!Q38&lt;&gt;"")," – ","")&amp;Stromkreisliste!Q38)</f>
        <v/>
      </c>
      <c r="D38" s="42">
        <f>IF(Stromkreisliste!B38="","",IF(Stromkreisliste!F38="FI/RCD","FI "&amp;Stromkreisliste!H38&amp;" A / "&amp;Stromkreisliste!K38&amp;" mA",IF(Stromkreisliste!F38="FI/LS (RCBO)","FI/LS "&amp;Stromkreisliste!G38&amp;Stromkreisliste!H38&amp;" / "&amp;Stromkreisliste!K38&amp;" mA",IF(Stromkreisliste!G38="",Stromkreisliste!F38&amp;IF(Stromkreisliste!H38="",""," "&amp;Stromkreisliste!H38&amp;" A"),Stromkreisliste!G38&amp;Stromkreisliste!H38))))</f>
        <v/>
      </c>
      <c r="E38" s="42">
        <f>IF(Stromkreisliste!B38="","",TRIM(Stromkreisliste!M38&amp;" "&amp;Stromkreisliste!N38))</f>
        <v/>
      </c>
      <c r="F38" s="43" t="n"/>
      <c r="G38" s="43" t="n"/>
      <c r="H38" s="43" t="n"/>
      <c r="I38" s="43" t="n"/>
      <c r="J38" s="44">
        <f>IF(N(I38)&gt;0,$D$5/I38,"")</f>
        <v/>
      </c>
      <c r="K38" s="45">
        <f>IF(OR(Stromkreisliste!B38="",N(Stromkreisliste!H38)=0),"",IFERROR($H$5*$D$5/(Stromkreisliste!H38*INDEX({5,10,20,14,3},MATCH(Stromkreisliste!G38,{"B","C","D","K","Z"},0))),""))</f>
        <v/>
      </c>
      <c r="L38" s="21" t="n"/>
      <c r="M38" s="21" t="n"/>
      <c r="N38" s="21" t="n"/>
      <c r="O38" s="21" t="n"/>
      <c r="P38" s="46">
        <f>IF(COUNTA(F38:I38,L38:O38)=0,"",IF(R38+S38+T38+U38&gt;0,"n.i.O.","i.O."))</f>
        <v/>
      </c>
      <c r="Q38" s="20" t="n"/>
      <c r="R38" s="47">
        <f>IF(OR(AND(ISNUMBER(F38),F38&lt;$F$5),AND(ISNUMBER(G38),G38&lt;$F$5)),1,0)</f>
        <v/>
      </c>
      <c r="S38" s="47">
        <f>IF(AND(ISNUMBER(I38),N(K38)&gt;0,I38&gt;N(K38)),1,0)</f>
        <v/>
      </c>
      <c r="T38" s="47">
        <f>IF(OR(AND(ISNUMBER(L38),N(Stromkreisliste!K38)&gt;0,OR(L38&gt;N(Stromkreisliste!K38),L38&lt;0.5*N(Stromkreisliste!K38))),AND(ISNUMBER(M38),M38&gt;$J$5),AND(ISNUMBER(N38),N38&gt;$L$5)),1,0)</f>
        <v/>
      </c>
      <c r="U38" s="47">
        <f>IF(O38="links",1,0)</f>
        <v/>
      </c>
    </row>
    <row r="39" ht="16" customHeight="1">
      <c r="A39" s="19">
        <f>IF(Stromkreisliste!B39="","",ROW()-6)</f>
        <v/>
      </c>
      <c r="B39" s="41">
        <f>IF(Stromkreisliste!B39="","",Stromkreisliste!B39)</f>
        <v/>
      </c>
      <c r="C39" s="42">
        <f>IF(Stromkreisliste!B39="","",Stromkreisliste!P39&amp;IF(AND(Stromkreisliste!P39&lt;&gt;"",Stromkreisliste!Q39&lt;&gt;"")," – ","")&amp;Stromkreisliste!Q39)</f>
        <v/>
      </c>
      <c r="D39" s="42">
        <f>IF(Stromkreisliste!B39="","",IF(Stromkreisliste!F39="FI/RCD","FI "&amp;Stromkreisliste!H39&amp;" A / "&amp;Stromkreisliste!K39&amp;" mA",IF(Stromkreisliste!F39="FI/LS (RCBO)","FI/LS "&amp;Stromkreisliste!G39&amp;Stromkreisliste!H39&amp;" / "&amp;Stromkreisliste!K39&amp;" mA",IF(Stromkreisliste!G39="",Stromkreisliste!F39&amp;IF(Stromkreisliste!H39="",""," "&amp;Stromkreisliste!H39&amp;" A"),Stromkreisliste!G39&amp;Stromkreisliste!H39))))</f>
        <v/>
      </c>
      <c r="E39" s="42">
        <f>IF(Stromkreisliste!B39="","",TRIM(Stromkreisliste!M39&amp;" "&amp;Stromkreisliste!N39))</f>
        <v/>
      </c>
      <c r="F39" s="43" t="n"/>
      <c r="G39" s="43" t="n"/>
      <c r="H39" s="43" t="n"/>
      <c r="I39" s="43" t="n"/>
      <c r="J39" s="44">
        <f>IF(N(I39)&gt;0,$D$5/I39,"")</f>
        <v/>
      </c>
      <c r="K39" s="45">
        <f>IF(OR(Stromkreisliste!B39="",N(Stromkreisliste!H39)=0),"",IFERROR($H$5*$D$5/(Stromkreisliste!H39*INDEX({5,10,20,14,3},MATCH(Stromkreisliste!G39,{"B","C","D","K","Z"},0))),""))</f>
        <v/>
      </c>
      <c r="L39" s="21" t="n"/>
      <c r="M39" s="21" t="n"/>
      <c r="N39" s="21" t="n"/>
      <c r="O39" s="21" t="n"/>
      <c r="P39" s="46">
        <f>IF(COUNTA(F39:I39,L39:O39)=0,"",IF(R39+S39+T39+U39&gt;0,"n.i.O.","i.O."))</f>
        <v/>
      </c>
      <c r="Q39" s="20" t="n"/>
      <c r="R39" s="47">
        <f>IF(OR(AND(ISNUMBER(F39),F39&lt;$F$5),AND(ISNUMBER(G39),G39&lt;$F$5)),1,0)</f>
        <v/>
      </c>
      <c r="S39" s="47">
        <f>IF(AND(ISNUMBER(I39),N(K39)&gt;0,I39&gt;N(K39)),1,0)</f>
        <v/>
      </c>
      <c r="T39" s="47">
        <f>IF(OR(AND(ISNUMBER(L39),N(Stromkreisliste!K39)&gt;0,OR(L39&gt;N(Stromkreisliste!K39),L39&lt;0.5*N(Stromkreisliste!K39))),AND(ISNUMBER(M39),M39&gt;$J$5),AND(ISNUMBER(N39),N39&gt;$L$5)),1,0)</f>
        <v/>
      </c>
      <c r="U39" s="47">
        <f>IF(O39="links",1,0)</f>
        <v/>
      </c>
    </row>
    <row r="40" ht="16" customHeight="1">
      <c r="A40" s="19">
        <f>IF(Stromkreisliste!B40="","",ROW()-6)</f>
        <v/>
      </c>
      <c r="B40" s="41">
        <f>IF(Stromkreisliste!B40="","",Stromkreisliste!B40)</f>
        <v/>
      </c>
      <c r="C40" s="42">
        <f>IF(Stromkreisliste!B40="","",Stromkreisliste!P40&amp;IF(AND(Stromkreisliste!P40&lt;&gt;"",Stromkreisliste!Q40&lt;&gt;"")," – ","")&amp;Stromkreisliste!Q40)</f>
        <v/>
      </c>
      <c r="D40" s="42">
        <f>IF(Stromkreisliste!B40="","",IF(Stromkreisliste!F40="FI/RCD","FI "&amp;Stromkreisliste!H40&amp;" A / "&amp;Stromkreisliste!K40&amp;" mA",IF(Stromkreisliste!F40="FI/LS (RCBO)","FI/LS "&amp;Stromkreisliste!G40&amp;Stromkreisliste!H40&amp;" / "&amp;Stromkreisliste!K40&amp;" mA",IF(Stromkreisliste!G40="",Stromkreisliste!F40&amp;IF(Stromkreisliste!H40="",""," "&amp;Stromkreisliste!H40&amp;" A"),Stromkreisliste!G40&amp;Stromkreisliste!H40))))</f>
        <v/>
      </c>
      <c r="E40" s="42">
        <f>IF(Stromkreisliste!B40="","",TRIM(Stromkreisliste!M40&amp;" "&amp;Stromkreisliste!N40))</f>
        <v/>
      </c>
      <c r="F40" s="43" t="n"/>
      <c r="G40" s="43" t="n"/>
      <c r="H40" s="43" t="n"/>
      <c r="I40" s="43" t="n"/>
      <c r="J40" s="44">
        <f>IF(N(I40)&gt;0,$D$5/I40,"")</f>
        <v/>
      </c>
      <c r="K40" s="45">
        <f>IF(OR(Stromkreisliste!B40="",N(Stromkreisliste!H40)=0),"",IFERROR($H$5*$D$5/(Stromkreisliste!H40*INDEX({5,10,20,14,3},MATCH(Stromkreisliste!G40,{"B","C","D","K","Z"},0))),""))</f>
        <v/>
      </c>
      <c r="L40" s="21" t="n"/>
      <c r="M40" s="21" t="n"/>
      <c r="N40" s="21" t="n"/>
      <c r="O40" s="21" t="n"/>
      <c r="P40" s="46">
        <f>IF(COUNTA(F40:I40,L40:O40)=0,"",IF(R40+S40+T40+U40&gt;0,"n.i.O.","i.O."))</f>
        <v/>
      </c>
      <c r="Q40" s="20" t="n"/>
      <c r="R40" s="47">
        <f>IF(OR(AND(ISNUMBER(F40),F40&lt;$F$5),AND(ISNUMBER(G40),G40&lt;$F$5)),1,0)</f>
        <v/>
      </c>
      <c r="S40" s="47">
        <f>IF(AND(ISNUMBER(I40),N(K40)&gt;0,I40&gt;N(K40)),1,0)</f>
        <v/>
      </c>
      <c r="T40" s="47">
        <f>IF(OR(AND(ISNUMBER(L40),N(Stromkreisliste!K40)&gt;0,OR(L40&gt;N(Stromkreisliste!K40),L40&lt;0.5*N(Stromkreisliste!K40))),AND(ISNUMBER(M40),M40&gt;$J$5),AND(ISNUMBER(N40),N40&gt;$L$5)),1,0)</f>
        <v/>
      </c>
      <c r="U40" s="47">
        <f>IF(O40="links",1,0)</f>
        <v/>
      </c>
    </row>
    <row r="41" ht="16" customHeight="1">
      <c r="A41" s="19">
        <f>IF(Stromkreisliste!B41="","",ROW()-6)</f>
        <v/>
      </c>
      <c r="B41" s="41">
        <f>IF(Stromkreisliste!B41="","",Stromkreisliste!B41)</f>
        <v/>
      </c>
      <c r="C41" s="42">
        <f>IF(Stromkreisliste!B41="","",Stromkreisliste!P41&amp;IF(AND(Stromkreisliste!P41&lt;&gt;"",Stromkreisliste!Q41&lt;&gt;"")," – ","")&amp;Stromkreisliste!Q41)</f>
        <v/>
      </c>
      <c r="D41" s="42">
        <f>IF(Stromkreisliste!B41="","",IF(Stromkreisliste!F41="FI/RCD","FI "&amp;Stromkreisliste!H41&amp;" A / "&amp;Stromkreisliste!K41&amp;" mA",IF(Stromkreisliste!F41="FI/LS (RCBO)","FI/LS "&amp;Stromkreisliste!G41&amp;Stromkreisliste!H41&amp;" / "&amp;Stromkreisliste!K41&amp;" mA",IF(Stromkreisliste!G41="",Stromkreisliste!F41&amp;IF(Stromkreisliste!H41="",""," "&amp;Stromkreisliste!H41&amp;" A"),Stromkreisliste!G41&amp;Stromkreisliste!H41))))</f>
        <v/>
      </c>
      <c r="E41" s="42">
        <f>IF(Stromkreisliste!B41="","",TRIM(Stromkreisliste!M41&amp;" "&amp;Stromkreisliste!N41))</f>
        <v/>
      </c>
      <c r="F41" s="43" t="n"/>
      <c r="G41" s="43" t="n"/>
      <c r="H41" s="43" t="n"/>
      <c r="I41" s="43" t="n"/>
      <c r="J41" s="44">
        <f>IF(N(I41)&gt;0,$D$5/I41,"")</f>
        <v/>
      </c>
      <c r="K41" s="45">
        <f>IF(OR(Stromkreisliste!B41="",N(Stromkreisliste!H41)=0),"",IFERROR($H$5*$D$5/(Stromkreisliste!H41*INDEX({5,10,20,14,3},MATCH(Stromkreisliste!G41,{"B","C","D","K","Z"},0))),""))</f>
        <v/>
      </c>
      <c r="L41" s="21" t="n"/>
      <c r="M41" s="21" t="n"/>
      <c r="N41" s="21" t="n"/>
      <c r="O41" s="21" t="n"/>
      <c r="P41" s="46">
        <f>IF(COUNTA(F41:I41,L41:O41)=0,"",IF(R41+S41+T41+U41&gt;0,"n.i.O.","i.O."))</f>
        <v/>
      </c>
      <c r="Q41" s="20" t="n"/>
      <c r="R41" s="47">
        <f>IF(OR(AND(ISNUMBER(F41),F41&lt;$F$5),AND(ISNUMBER(G41),G41&lt;$F$5)),1,0)</f>
        <v/>
      </c>
      <c r="S41" s="47">
        <f>IF(AND(ISNUMBER(I41),N(K41)&gt;0,I41&gt;N(K41)),1,0)</f>
        <v/>
      </c>
      <c r="T41" s="47">
        <f>IF(OR(AND(ISNUMBER(L41),N(Stromkreisliste!K41)&gt;0,OR(L41&gt;N(Stromkreisliste!K41),L41&lt;0.5*N(Stromkreisliste!K41))),AND(ISNUMBER(M41),M41&gt;$J$5),AND(ISNUMBER(N41),N41&gt;$L$5)),1,0)</f>
        <v/>
      </c>
      <c r="U41" s="47">
        <f>IF(O41="links",1,0)</f>
        <v/>
      </c>
    </row>
    <row r="42" ht="16" customHeight="1">
      <c r="A42" s="19">
        <f>IF(Stromkreisliste!B42="","",ROW()-6)</f>
        <v/>
      </c>
      <c r="B42" s="41">
        <f>IF(Stromkreisliste!B42="","",Stromkreisliste!B42)</f>
        <v/>
      </c>
      <c r="C42" s="42">
        <f>IF(Stromkreisliste!B42="","",Stromkreisliste!P42&amp;IF(AND(Stromkreisliste!P42&lt;&gt;"",Stromkreisliste!Q42&lt;&gt;"")," – ","")&amp;Stromkreisliste!Q42)</f>
        <v/>
      </c>
      <c r="D42" s="42">
        <f>IF(Stromkreisliste!B42="","",IF(Stromkreisliste!F42="FI/RCD","FI "&amp;Stromkreisliste!H42&amp;" A / "&amp;Stromkreisliste!K42&amp;" mA",IF(Stromkreisliste!F42="FI/LS (RCBO)","FI/LS "&amp;Stromkreisliste!G42&amp;Stromkreisliste!H42&amp;" / "&amp;Stromkreisliste!K42&amp;" mA",IF(Stromkreisliste!G42="",Stromkreisliste!F42&amp;IF(Stromkreisliste!H42="",""," "&amp;Stromkreisliste!H42&amp;" A"),Stromkreisliste!G42&amp;Stromkreisliste!H42))))</f>
        <v/>
      </c>
      <c r="E42" s="42">
        <f>IF(Stromkreisliste!B42="","",TRIM(Stromkreisliste!M42&amp;" "&amp;Stromkreisliste!N42))</f>
        <v/>
      </c>
      <c r="F42" s="43" t="n"/>
      <c r="G42" s="43" t="n"/>
      <c r="H42" s="43" t="n"/>
      <c r="I42" s="43" t="n"/>
      <c r="J42" s="44">
        <f>IF(N(I42)&gt;0,$D$5/I42,"")</f>
        <v/>
      </c>
      <c r="K42" s="45">
        <f>IF(OR(Stromkreisliste!B42="",N(Stromkreisliste!H42)=0),"",IFERROR($H$5*$D$5/(Stromkreisliste!H42*INDEX({5,10,20,14,3},MATCH(Stromkreisliste!G42,{"B","C","D","K","Z"},0))),""))</f>
        <v/>
      </c>
      <c r="L42" s="21" t="n"/>
      <c r="M42" s="21" t="n"/>
      <c r="N42" s="21" t="n"/>
      <c r="O42" s="21" t="n"/>
      <c r="P42" s="46">
        <f>IF(COUNTA(F42:I42,L42:O42)=0,"",IF(R42+S42+T42+U42&gt;0,"n.i.O.","i.O."))</f>
        <v/>
      </c>
      <c r="Q42" s="20" t="n"/>
      <c r="R42" s="47">
        <f>IF(OR(AND(ISNUMBER(F42),F42&lt;$F$5),AND(ISNUMBER(G42),G42&lt;$F$5)),1,0)</f>
        <v/>
      </c>
      <c r="S42" s="47">
        <f>IF(AND(ISNUMBER(I42),N(K42)&gt;0,I42&gt;N(K42)),1,0)</f>
        <v/>
      </c>
      <c r="T42" s="47">
        <f>IF(OR(AND(ISNUMBER(L42),N(Stromkreisliste!K42)&gt;0,OR(L42&gt;N(Stromkreisliste!K42),L42&lt;0.5*N(Stromkreisliste!K42))),AND(ISNUMBER(M42),M42&gt;$J$5),AND(ISNUMBER(N42),N42&gt;$L$5)),1,0)</f>
        <v/>
      </c>
      <c r="U42" s="47">
        <f>IF(O42="links",1,0)</f>
        <v/>
      </c>
    </row>
    <row r="43" ht="16" customHeight="1">
      <c r="A43" s="19">
        <f>IF(Stromkreisliste!B43="","",ROW()-6)</f>
        <v/>
      </c>
      <c r="B43" s="41">
        <f>IF(Stromkreisliste!B43="","",Stromkreisliste!B43)</f>
        <v/>
      </c>
      <c r="C43" s="42">
        <f>IF(Stromkreisliste!B43="","",Stromkreisliste!P43&amp;IF(AND(Stromkreisliste!P43&lt;&gt;"",Stromkreisliste!Q43&lt;&gt;"")," – ","")&amp;Stromkreisliste!Q43)</f>
        <v/>
      </c>
      <c r="D43" s="42">
        <f>IF(Stromkreisliste!B43="","",IF(Stromkreisliste!F43="FI/RCD","FI "&amp;Stromkreisliste!H43&amp;" A / "&amp;Stromkreisliste!K43&amp;" mA",IF(Stromkreisliste!F43="FI/LS (RCBO)","FI/LS "&amp;Stromkreisliste!G43&amp;Stromkreisliste!H43&amp;" / "&amp;Stromkreisliste!K43&amp;" mA",IF(Stromkreisliste!G43="",Stromkreisliste!F43&amp;IF(Stromkreisliste!H43="",""," "&amp;Stromkreisliste!H43&amp;" A"),Stromkreisliste!G43&amp;Stromkreisliste!H43))))</f>
        <v/>
      </c>
      <c r="E43" s="42">
        <f>IF(Stromkreisliste!B43="","",TRIM(Stromkreisliste!M43&amp;" "&amp;Stromkreisliste!N43))</f>
        <v/>
      </c>
      <c r="F43" s="43" t="n"/>
      <c r="G43" s="43" t="n"/>
      <c r="H43" s="43" t="n"/>
      <c r="I43" s="43" t="n"/>
      <c r="J43" s="44">
        <f>IF(N(I43)&gt;0,$D$5/I43,"")</f>
        <v/>
      </c>
      <c r="K43" s="45">
        <f>IF(OR(Stromkreisliste!B43="",N(Stromkreisliste!H43)=0),"",IFERROR($H$5*$D$5/(Stromkreisliste!H43*INDEX({5,10,20,14,3},MATCH(Stromkreisliste!G43,{"B","C","D","K","Z"},0))),""))</f>
        <v/>
      </c>
      <c r="L43" s="21" t="n"/>
      <c r="M43" s="21" t="n"/>
      <c r="N43" s="21" t="n"/>
      <c r="O43" s="21" t="n"/>
      <c r="P43" s="46">
        <f>IF(COUNTA(F43:I43,L43:O43)=0,"",IF(R43+S43+T43+U43&gt;0,"n.i.O.","i.O."))</f>
        <v/>
      </c>
      <c r="Q43" s="20" t="n"/>
      <c r="R43" s="47">
        <f>IF(OR(AND(ISNUMBER(F43),F43&lt;$F$5),AND(ISNUMBER(G43),G43&lt;$F$5)),1,0)</f>
        <v/>
      </c>
      <c r="S43" s="47">
        <f>IF(AND(ISNUMBER(I43),N(K43)&gt;0,I43&gt;N(K43)),1,0)</f>
        <v/>
      </c>
      <c r="T43" s="47">
        <f>IF(OR(AND(ISNUMBER(L43),N(Stromkreisliste!K43)&gt;0,OR(L43&gt;N(Stromkreisliste!K43),L43&lt;0.5*N(Stromkreisliste!K43))),AND(ISNUMBER(M43),M43&gt;$J$5),AND(ISNUMBER(N43),N43&gt;$L$5)),1,0)</f>
        <v/>
      </c>
      <c r="U43" s="47">
        <f>IF(O43="links",1,0)</f>
        <v/>
      </c>
    </row>
    <row r="44" ht="16" customHeight="1">
      <c r="A44" s="19">
        <f>IF(Stromkreisliste!B44="","",ROW()-6)</f>
        <v/>
      </c>
      <c r="B44" s="41">
        <f>IF(Stromkreisliste!B44="","",Stromkreisliste!B44)</f>
        <v/>
      </c>
      <c r="C44" s="42">
        <f>IF(Stromkreisliste!B44="","",Stromkreisliste!P44&amp;IF(AND(Stromkreisliste!P44&lt;&gt;"",Stromkreisliste!Q44&lt;&gt;"")," – ","")&amp;Stromkreisliste!Q44)</f>
        <v/>
      </c>
      <c r="D44" s="42">
        <f>IF(Stromkreisliste!B44="","",IF(Stromkreisliste!F44="FI/RCD","FI "&amp;Stromkreisliste!H44&amp;" A / "&amp;Stromkreisliste!K44&amp;" mA",IF(Stromkreisliste!F44="FI/LS (RCBO)","FI/LS "&amp;Stromkreisliste!G44&amp;Stromkreisliste!H44&amp;" / "&amp;Stromkreisliste!K44&amp;" mA",IF(Stromkreisliste!G44="",Stromkreisliste!F44&amp;IF(Stromkreisliste!H44="",""," "&amp;Stromkreisliste!H44&amp;" A"),Stromkreisliste!G44&amp;Stromkreisliste!H44))))</f>
        <v/>
      </c>
      <c r="E44" s="42">
        <f>IF(Stromkreisliste!B44="","",TRIM(Stromkreisliste!M44&amp;" "&amp;Stromkreisliste!N44))</f>
        <v/>
      </c>
      <c r="F44" s="43" t="n"/>
      <c r="G44" s="43" t="n"/>
      <c r="H44" s="43" t="n"/>
      <c r="I44" s="43" t="n"/>
      <c r="J44" s="44">
        <f>IF(N(I44)&gt;0,$D$5/I44,"")</f>
        <v/>
      </c>
      <c r="K44" s="45">
        <f>IF(OR(Stromkreisliste!B44="",N(Stromkreisliste!H44)=0),"",IFERROR($H$5*$D$5/(Stromkreisliste!H44*INDEX({5,10,20,14,3},MATCH(Stromkreisliste!G44,{"B","C","D","K","Z"},0))),""))</f>
        <v/>
      </c>
      <c r="L44" s="21" t="n"/>
      <c r="M44" s="21" t="n"/>
      <c r="N44" s="21" t="n"/>
      <c r="O44" s="21" t="n"/>
      <c r="P44" s="46">
        <f>IF(COUNTA(F44:I44,L44:O44)=0,"",IF(R44+S44+T44+U44&gt;0,"n.i.O.","i.O."))</f>
        <v/>
      </c>
      <c r="Q44" s="20" t="n"/>
      <c r="R44" s="47">
        <f>IF(OR(AND(ISNUMBER(F44),F44&lt;$F$5),AND(ISNUMBER(G44),G44&lt;$F$5)),1,0)</f>
        <v/>
      </c>
      <c r="S44" s="47">
        <f>IF(AND(ISNUMBER(I44),N(K44)&gt;0,I44&gt;N(K44)),1,0)</f>
        <v/>
      </c>
      <c r="T44" s="47">
        <f>IF(OR(AND(ISNUMBER(L44),N(Stromkreisliste!K44)&gt;0,OR(L44&gt;N(Stromkreisliste!K44),L44&lt;0.5*N(Stromkreisliste!K44))),AND(ISNUMBER(M44),M44&gt;$J$5),AND(ISNUMBER(N44),N44&gt;$L$5)),1,0)</f>
        <v/>
      </c>
      <c r="U44" s="47">
        <f>IF(O44="links",1,0)</f>
        <v/>
      </c>
    </row>
    <row r="45" ht="16" customHeight="1">
      <c r="A45" s="19">
        <f>IF(Stromkreisliste!B45="","",ROW()-6)</f>
        <v/>
      </c>
      <c r="B45" s="41">
        <f>IF(Stromkreisliste!B45="","",Stromkreisliste!B45)</f>
        <v/>
      </c>
      <c r="C45" s="42">
        <f>IF(Stromkreisliste!B45="","",Stromkreisliste!P45&amp;IF(AND(Stromkreisliste!P45&lt;&gt;"",Stromkreisliste!Q45&lt;&gt;"")," – ","")&amp;Stromkreisliste!Q45)</f>
        <v/>
      </c>
      <c r="D45" s="42">
        <f>IF(Stromkreisliste!B45="","",IF(Stromkreisliste!F45="FI/RCD","FI "&amp;Stromkreisliste!H45&amp;" A / "&amp;Stromkreisliste!K45&amp;" mA",IF(Stromkreisliste!F45="FI/LS (RCBO)","FI/LS "&amp;Stromkreisliste!G45&amp;Stromkreisliste!H45&amp;" / "&amp;Stromkreisliste!K45&amp;" mA",IF(Stromkreisliste!G45="",Stromkreisliste!F45&amp;IF(Stromkreisliste!H45="",""," "&amp;Stromkreisliste!H45&amp;" A"),Stromkreisliste!G45&amp;Stromkreisliste!H45))))</f>
        <v/>
      </c>
      <c r="E45" s="42">
        <f>IF(Stromkreisliste!B45="","",TRIM(Stromkreisliste!M45&amp;" "&amp;Stromkreisliste!N45))</f>
        <v/>
      </c>
      <c r="F45" s="43" t="n"/>
      <c r="G45" s="43" t="n"/>
      <c r="H45" s="43" t="n"/>
      <c r="I45" s="43" t="n"/>
      <c r="J45" s="44">
        <f>IF(N(I45)&gt;0,$D$5/I45,"")</f>
        <v/>
      </c>
      <c r="K45" s="45">
        <f>IF(OR(Stromkreisliste!B45="",N(Stromkreisliste!H45)=0),"",IFERROR($H$5*$D$5/(Stromkreisliste!H45*INDEX({5,10,20,14,3},MATCH(Stromkreisliste!G45,{"B","C","D","K","Z"},0))),""))</f>
        <v/>
      </c>
      <c r="L45" s="21" t="n"/>
      <c r="M45" s="21" t="n"/>
      <c r="N45" s="21" t="n"/>
      <c r="O45" s="21" t="n"/>
      <c r="P45" s="46">
        <f>IF(COUNTA(F45:I45,L45:O45)=0,"",IF(R45+S45+T45+U45&gt;0,"n.i.O.","i.O."))</f>
        <v/>
      </c>
      <c r="Q45" s="20" t="n"/>
      <c r="R45" s="47">
        <f>IF(OR(AND(ISNUMBER(F45),F45&lt;$F$5),AND(ISNUMBER(G45),G45&lt;$F$5)),1,0)</f>
        <v/>
      </c>
      <c r="S45" s="47">
        <f>IF(AND(ISNUMBER(I45),N(K45)&gt;0,I45&gt;N(K45)),1,0)</f>
        <v/>
      </c>
      <c r="T45" s="47">
        <f>IF(OR(AND(ISNUMBER(L45),N(Stromkreisliste!K45)&gt;0,OR(L45&gt;N(Stromkreisliste!K45),L45&lt;0.5*N(Stromkreisliste!K45))),AND(ISNUMBER(M45),M45&gt;$J$5),AND(ISNUMBER(N45),N45&gt;$L$5)),1,0)</f>
        <v/>
      </c>
      <c r="U45" s="47">
        <f>IF(O45="links",1,0)</f>
        <v/>
      </c>
    </row>
    <row r="46" ht="16" customHeight="1">
      <c r="A46" s="19">
        <f>IF(Stromkreisliste!B46="","",ROW()-6)</f>
        <v/>
      </c>
      <c r="B46" s="41">
        <f>IF(Stromkreisliste!B46="","",Stromkreisliste!B46)</f>
        <v/>
      </c>
      <c r="C46" s="42">
        <f>IF(Stromkreisliste!B46="","",Stromkreisliste!P46&amp;IF(AND(Stromkreisliste!P46&lt;&gt;"",Stromkreisliste!Q46&lt;&gt;"")," – ","")&amp;Stromkreisliste!Q46)</f>
        <v/>
      </c>
      <c r="D46" s="42">
        <f>IF(Stromkreisliste!B46="","",IF(Stromkreisliste!F46="FI/RCD","FI "&amp;Stromkreisliste!H46&amp;" A / "&amp;Stromkreisliste!K46&amp;" mA",IF(Stromkreisliste!F46="FI/LS (RCBO)","FI/LS "&amp;Stromkreisliste!G46&amp;Stromkreisliste!H46&amp;" / "&amp;Stromkreisliste!K46&amp;" mA",IF(Stromkreisliste!G46="",Stromkreisliste!F46&amp;IF(Stromkreisliste!H46="",""," "&amp;Stromkreisliste!H46&amp;" A"),Stromkreisliste!G46&amp;Stromkreisliste!H46))))</f>
        <v/>
      </c>
      <c r="E46" s="42">
        <f>IF(Stromkreisliste!B46="","",TRIM(Stromkreisliste!M46&amp;" "&amp;Stromkreisliste!N46))</f>
        <v/>
      </c>
      <c r="F46" s="43" t="n"/>
      <c r="G46" s="43" t="n"/>
      <c r="H46" s="43" t="n"/>
      <c r="I46" s="43" t="n"/>
      <c r="J46" s="44">
        <f>IF(N(I46)&gt;0,$D$5/I46,"")</f>
        <v/>
      </c>
      <c r="K46" s="45">
        <f>IF(OR(Stromkreisliste!B46="",N(Stromkreisliste!H46)=0),"",IFERROR($H$5*$D$5/(Stromkreisliste!H46*INDEX({5,10,20,14,3},MATCH(Stromkreisliste!G46,{"B","C","D","K","Z"},0))),""))</f>
        <v/>
      </c>
      <c r="L46" s="21" t="n"/>
      <c r="M46" s="21" t="n"/>
      <c r="N46" s="21" t="n"/>
      <c r="O46" s="21" t="n"/>
      <c r="P46" s="46">
        <f>IF(COUNTA(F46:I46,L46:O46)=0,"",IF(R46+S46+T46+U46&gt;0,"n.i.O.","i.O."))</f>
        <v/>
      </c>
      <c r="Q46" s="20" t="n"/>
      <c r="R46" s="47">
        <f>IF(OR(AND(ISNUMBER(F46),F46&lt;$F$5),AND(ISNUMBER(G46),G46&lt;$F$5)),1,0)</f>
        <v/>
      </c>
      <c r="S46" s="47">
        <f>IF(AND(ISNUMBER(I46),N(K46)&gt;0,I46&gt;N(K46)),1,0)</f>
        <v/>
      </c>
      <c r="T46" s="47">
        <f>IF(OR(AND(ISNUMBER(L46),N(Stromkreisliste!K46)&gt;0,OR(L46&gt;N(Stromkreisliste!K46),L46&lt;0.5*N(Stromkreisliste!K46))),AND(ISNUMBER(M46),M46&gt;$J$5),AND(ISNUMBER(N46),N46&gt;$L$5)),1,0)</f>
        <v/>
      </c>
      <c r="U46" s="47">
        <f>IF(O46="links",1,0)</f>
        <v/>
      </c>
    </row>
    <row r="47" ht="16" customHeight="1">
      <c r="A47" s="19">
        <f>IF(Stromkreisliste!B47="","",ROW()-6)</f>
        <v/>
      </c>
      <c r="B47" s="41">
        <f>IF(Stromkreisliste!B47="","",Stromkreisliste!B47)</f>
        <v/>
      </c>
      <c r="C47" s="42">
        <f>IF(Stromkreisliste!B47="","",Stromkreisliste!P47&amp;IF(AND(Stromkreisliste!P47&lt;&gt;"",Stromkreisliste!Q47&lt;&gt;"")," – ","")&amp;Stromkreisliste!Q47)</f>
        <v/>
      </c>
      <c r="D47" s="42">
        <f>IF(Stromkreisliste!B47="","",IF(Stromkreisliste!F47="FI/RCD","FI "&amp;Stromkreisliste!H47&amp;" A / "&amp;Stromkreisliste!K47&amp;" mA",IF(Stromkreisliste!F47="FI/LS (RCBO)","FI/LS "&amp;Stromkreisliste!G47&amp;Stromkreisliste!H47&amp;" / "&amp;Stromkreisliste!K47&amp;" mA",IF(Stromkreisliste!G47="",Stromkreisliste!F47&amp;IF(Stromkreisliste!H47="",""," "&amp;Stromkreisliste!H47&amp;" A"),Stromkreisliste!G47&amp;Stromkreisliste!H47))))</f>
        <v/>
      </c>
      <c r="E47" s="42">
        <f>IF(Stromkreisliste!B47="","",TRIM(Stromkreisliste!M47&amp;" "&amp;Stromkreisliste!N47))</f>
        <v/>
      </c>
      <c r="F47" s="43" t="n"/>
      <c r="G47" s="43" t="n"/>
      <c r="H47" s="43" t="n"/>
      <c r="I47" s="43" t="n"/>
      <c r="J47" s="44">
        <f>IF(N(I47)&gt;0,$D$5/I47,"")</f>
        <v/>
      </c>
      <c r="K47" s="45">
        <f>IF(OR(Stromkreisliste!B47="",N(Stromkreisliste!H47)=0),"",IFERROR($H$5*$D$5/(Stromkreisliste!H47*INDEX({5,10,20,14,3},MATCH(Stromkreisliste!G47,{"B","C","D","K","Z"},0))),""))</f>
        <v/>
      </c>
      <c r="L47" s="21" t="n"/>
      <c r="M47" s="21" t="n"/>
      <c r="N47" s="21" t="n"/>
      <c r="O47" s="21" t="n"/>
      <c r="P47" s="46">
        <f>IF(COUNTA(F47:I47,L47:O47)=0,"",IF(R47+S47+T47+U47&gt;0,"n.i.O.","i.O."))</f>
        <v/>
      </c>
      <c r="Q47" s="20" t="n"/>
      <c r="R47" s="47">
        <f>IF(OR(AND(ISNUMBER(F47),F47&lt;$F$5),AND(ISNUMBER(G47),G47&lt;$F$5)),1,0)</f>
        <v/>
      </c>
      <c r="S47" s="47">
        <f>IF(AND(ISNUMBER(I47),N(K47)&gt;0,I47&gt;N(K47)),1,0)</f>
        <v/>
      </c>
      <c r="T47" s="47">
        <f>IF(OR(AND(ISNUMBER(L47),N(Stromkreisliste!K47)&gt;0,OR(L47&gt;N(Stromkreisliste!K47),L47&lt;0.5*N(Stromkreisliste!K47))),AND(ISNUMBER(M47),M47&gt;$J$5),AND(ISNUMBER(N47),N47&gt;$L$5)),1,0)</f>
        <v/>
      </c>
      <c r="U47" s="47">
        <f>IF(O47="links",1,0)</f>
        <v/>
      </c>
    </row>
    <row r="48" ht="16" customHeight="1">
      <c r="A48" s="19">
        <f>IF(Stromkreisliste!B48="","",ROW()-6)</f>
        <v/>
      </c>
      <c r="B48" s="41">
        <f>IF(Stromkreisliste!B48="","",Stromkreisliste!B48)</f>
        <v/>
      </c>
      <c r="C48" s="42">
        <f>IF(Stromkreisliste!B48="","",Stromkreisliste!P48&amp;IF(AND(Stromkreisliste!P48&lt;&gt;"",Stromkreisliste!Q48&lt;&gt;"")," – ","")&amp;Stromkreisliste!Q48)</f>
        <v/>
      </c>
      <c r="D48" s="42">
        <f>IF(Stromkreisliste!B48="","",IF(Stromkreisliste!F48="FI/RCD","FI "&amp;Stromkreisliste!H48&amp;" A / "&amp;Stromkreisliste!K48&amp;" mA",IF(Stromkreisliste!F48="FI/LS (RCBO)","FI/LS "&amp;Stromkreisliste!G48&amp;Stromkreisliste!H48&amp;" / "&amp;Stromkreisliste!K48&amp;" mA",IF(Stromkreisliste!G48="",Stromkreisliste!F48&amp;IF(Stromkreisliste!H48="",""," "&amp;Stromkreisliste!H48&amp;" A"),Stromkreisliste!G48&amp;Stromkreisliste!H48))))</f>
        <v/>
      </c>
      <c r="E48" s="42">
        <f>IF(Stromkreisliste!B48="","",TRIM(Stromkreisliste!M48&amp;" "&amp;Stromkreisliste!N48))</f>
        <v/>
      </c>
      <c r="F48" s="43" t="n"/>
      <c r="G48" s="43" t="n"/>
      <c r="H48" s="43" t="n"/>
      <c r="I48" s="43" t="n"/>
      <c r="J48" s="44">
        <f>IF(N(I48)&gt;0,$D$5/I48,"")</f>
        <v/>
      </c>
      <c r="K48" s="45">
        <f>IF(OR(Stromkreisliste!B48="",N(Stromkreisliste!H48)=0),"",IFERROR($H$5*$D$5/(Stromkreisliste!H48*INDEX({5,10,20,14,3},MATCH(Stromkreisliste!G48,{"B","C","D","K","Z"},0))),""))</f>
        <v/>
      </c>
      <c r="L48" s="21" t="n"/>
      <c r="M48" s="21" t="n"/>
      <c r="N48" s="21" t="n"/>
      <c r="O48" s="21" t="n"/>
      <c r="P48" s="46">
        <f>IF(COUNTA(F48:I48,L48:O48)=0,"",IF(R48+S48+T48+U48&gt;0,"n.i.O.","i.O."))</f>
        <v/>
      </c>
      <c r="Q48" s="20" t="n"/>
      <c r="R48" s="47">
        <f>IF(OR(AND(ISNUMBER(F48),F48&lt;$F$5),AND(ISNUMBER(G48),G48&lt;$F$5)),1,0)</f>
        <v/>
      </c>
      <c r="S48" s="47">
        <f>IF(AND(ISNUMBER(I48),N(K48)&gt;0,I48&gt;N(K48)),1,0)</f>
        <v/>
      </c>
      <c r="T48" s="47">
        <f>IF(OR(AND(ISNUMBER(L48),N(Stromkreisliste!K48)&gt;0,OR(L48&gt;N(Stromkreisliste!K48),L48&lt;0.5*N(Stromkreisliste!K48))),AND(ISNUMBER(M48),M48&gt;$J$5),AND(ISNUMBER(N48),N48&gt;$L$5)),1,0)</f>
        <v/>
      </c>
      <c r="U48" s="47">
        <f>IF(O48="links",1,0)</f>
        <v/>
      </c>
    </row>
    <row r="49" ht="16" customHeight="1">
      <c r="A49" s="19">
        <f>IF(Stromkreisliste!B49="","",ROW()-6)</f>
        <v/>
      </c>
      <c r="B49" s="41">
        <f>IF(Stromkreisliste!B49="","",Stromkreisliste!B49)</f>
        <v/>
      </c>
      <c r="C49" s="42">
        <f>IF(Stromkreisliste!B49="","",Stromkreisliste!P49&amp;IF(AND(Stromkreisliste!P49&lt;&gt;"",Stromkreisliste!Q49&lt;&gt;"")," – ","")&amp;Stromkreisliste!Q49)</f>
        <v/>
      </c>
      <c r="D49" s="42">
        <f>IF(Stromkreisliste!B49="","",IF(Stromkreisliste!F49="FI/RCD","FI "&amp;Stromkreisliste!H49&amp;" A / "&amp;Stromkreisliste!K49&amp;" mA",IF(Stromkreisliste!F49="FI/LS (RCBO)","FI/LS "&amp;Stromkreisliste!G49&amp;Stromkreisliste!H49&amp;" / "&amp;Stromkreisliste!K49&amp;" mA",IF(Stromkreisliste!G49="",Stromkreisliste!F49&amp;IF(Stromkreisliste!H49="",""," "&amp;Stromkreisliste!H49&amp;" A"),Stromkreisliste!G49&amp;Stromkreisliste!H49))))</f>
        <v/>
      </c>
      <c r="E49" s="42">
        <f>IF(Stromkreisliste!B49="","",TRIM(Stromkreisliste!M49&amp;" "&amp;Stromkreisliste!N49))</f>
        <v/>
      </c>
      <c r="F49" s="43" t="n"/>
      <c r="G49" s="43" t="n"/>
      <c r="H49" s="43" t="n"/>
      <c r="I49" s="43" t="n"/>
      <c r="J49" s="44">
        <f>IF(N(I49)&gt;0,$D$5/I49,"")</f>
        <v/>
      </c>
      <c r="K49" s="45">
        <f>IF(OR(Stromkreisliste!B49="",N(Stromkreisliste!H49)=0),"",IFERROR($H$5*$D$5/(Stromkreisliste!H49*INDEX({5,10,20,14,3},MATCH(Stromkreisliste!G49,{"B","C","D","K","Z"},0))),""))</f>
        <v/>
      </c>
      <c r="L49" s="21" t="n"/>
      <c r="M49" s="21" t="n"/>
      <c r="N49" s="21" t="n"/>
      <c r="O49" s="21" t="n"/>
      <c r="P49" s="46">
        <f>IF(COUNTA(F49:I49,L49:O49)=0,"",IF(R49+S49+T49+U49&gt;0,"n.i.O.","i.O."))</f>
        <v/>
      </c>
      <c r="Q49" s="20" t="n"/>
      <c r="R49" s="47">
        <f>IF(OR(AND(ISNUMBER(F49),F49&lt;$F$5),AND(ISNUMBER(G49),G49&lt;$F$5)),1,0)</f>
        <v/>
      </c>
      <c r="S49" s="47">
        <f>IF(AND(ISNUMBER(I49),N(K49)&gt;0,I49&gt;N(K49)),1,0)</f>
        <v/>
      </c>
      <c r="T49" s="47">
        <f>IF(OR(AND(ISNUMBER(L49),N(Stromkreisliste!K49)&gt;0,OR(L49&gt;N(Stromkreisliste!K49),L49&lt;0.5*N(Stromkreisliste!K49))),AND(ISNUMBER(M49),M49&gt;$J$5),AND(ISNUMBER(N49),N49&gt;$L$5)),1,0)</f>
        <v/>
      </c>
      <c r="U49" s="47">
        <f>IF(O49="links",1,0)</f>
        <v/>
      </c>
    </row>
    <row r="50" ht="16" customHeight="1">
      <c r="A50" s="19">
        <f>IF(Stromkreisliste!B50="","",ROW()-6)</f>
        <v/>
      </c>
      <c r="B50" s="41">
        <f>IF(Stromkreisliste!B50="","",Stromkreisliste!B50)</f>
        <v/>
      </c>
      <c r="C50" s="42">
        <f>IF(Stromkreisliste!B50="","",Stromkreisliste!P50&amp;IF(AND(Stromkreisliste!P50&lt;&gt;"",Stromkreisliste!Q50&lt;&gt;"")," – ","")&amp;Stromkreisliste!Q50)</f>
        <v/>
      </c>
      <c r="D50" s="42">
        <f>IF(Stromkreisliste!B50="","",IF(Stromkreisliste!F50="FI/RCD","FI "&amp;Stromkreisliste!H50&amp;" A / "&amp;Stromkreisliste!K50&amp;" mA",IF(Stromkreisliste!F50="FI/LS (RCBO)","FI/LS "&amp;Stromkreisliste!G50&amp;Stromkreisliste!H50&amp;" / "&amp;Stromkreisliste!K50&amp;" mA",IF(Stromkreisliste!G50="",Stromkreisliste!F50&amp;IF(Stromkreisliste!H50="",""," "&amp;Stromkreisliste!H50&amp;" A"),Stromkreisliste!G50&amp;Stromkreisliste!H50))))</f>
        <v/>
      </c>
      <c r="E50" s="42">
        <f>IF(Stromkreisliste!B50="","",TRIM(Stromkreisliste!M50&amp;" "&amp;Stromkreisliste!N50))</f>
        <v/>
      </c>
      <c r="F50" s="43" t="n"/>
      <c r="G50" s="43" t="n"/>
      <c r="H50" s="43" t="n"/>
      <c r="I50" s="43" t="n"/>
      <c r="J50" s="44">
        <f>IF(N(I50)&gt;0,$D$5/I50,"")</f>
        <v/>
      </c>
      <c r="K50" s="45">
        <f>IF(OR(Stromkreisliste!B50="",N(Stromkreisliste!H50)=0),"",IFERROR($H$5*$D$5/(Stromkreisliste!H50*INDEX({5,10,20,14,3},MATCH(Stromkreisliste!G50,{"B","C","D","K","Z"},0))),""))</f>
        <v/>
      </c>
      <c r="L50" s="21" t="n"/>
      <c r="M50" s="21" t="n"/>
      <c r="N50" s="21" t="n"/>
      <c r="O50" s="21" t="n"/>
      <c r="P50" s="46">
        <f>IF(COUNTA(F50:I50,L50:O50)=0,"",IF(R50+S50+T50+U50&gt;0,"n.i.O.","i.O."))</f>
        <v/>
      </c>
      <c r="Q50" s="20" t="n"/>
      <c r="R50" s="47">
        <f>IF(OR(AND(ISNUMBER(F50),F50&lt;$F$5),AND(ISNUMBER(G50),G50&lt;$F$5)),1,0)</f>
        <v/>
      </c>
      <c r="S50" s="47">
        <f>IF(AND(ISNUMBER(I50),N(K50)&gt;0,I50&gt;N(K50)),1,0)</f>
        <v/>
      </c>
      <c r="T50" s="47">
        <f>IF(OR(AND(ISNUMBER(L50),N(Stromkreisliste!K50)&gt;0,OR(L50&gt;N(Stromkreisliste!K50),L50&lt;0.5*N(Stromkreisliste!K50))),AND(ISNUMBER(M50),M50&gt;$J$5),AND(ISNUMBER(N50),N50&gt;$L$5)),1,0)</f>
        <v/>
      </c>
      <c r="U50" s="47">
        <f>IF(O50="links",1,0)</f>
        <v/>
      </c>
    </row>
    <row r="51" ht="16" customHeight="1">
      <c r="A51" s="19">
        <f>IF(Stromkreisliste!B51="","",ROW()-6)</f>
        <v/>
      </c>
      <c r="B51" s="41">
        <f>IF(Stromkreisliste!B51="","",Stromkreisliste!B51)</f>
        <v/>
      </c>
      <c r="C51" s="42">
        <f>IF(Stromkreisliste!B51="","",Stromkreisliste!P51&amp;IF(AND(Stromkreisliste!P51&lt;&gt;"",Stromkreisliste!Q51&lt;&gt;"")," – ","")&amp;Stromkreisliste!Q51)</f>
        <v/>
      </c>
      <c r="D51" s="42">
        <f>IF(Stromkreisliste!B51="","",IF(Stromkreisliste!F51="FI/RCD","FI "&amp;Stromkreisliste!H51&amp;" A / "&amp;Stromkreisliste!K51&amp;" mA",IF(Stromkreisliste!F51="FI/LS (RCBO)","FI/LS "&amp;Stromkreisliste!G51&amp;Stromkreisliste!H51&amp;" / "&amp;Stromkreisliste!K51&amp;" mA",IF(Stromkreisliste!G51="",Stromkreisliste!F51&amp;IF(Stromkreisliste!H51="",""," "&amp;Stromkreisliste!H51&amp;" A"),Stromkreisliste!G51&amp;Stromkreisliste!H51))))</f>
        <v/>
      </c>
      <c r="E51" s="42">
        <f>IF(Stromkreisliste!B51="","",TRIM(Stromkreisliste!M51&amp;" "&amp;Stromkreisliste!N51))</f>
        <v/>
      </c>
      <c r="F51" s="43" t="n"/>
      <c r="G51" s="43" t="n"/>
      <c r="H51" s="43" t="n"/>
      <c r="I51" s="43" t="n"/>
      <c r="J51" s="44">
        <f>IF(N(I51)&gt;0,$D$5/I51,"")</f>
        <v/>
      </c>
      <c r="K51" s="45">
        <f>IF(OR(Stromkreisliste!B51="",N(Stromkreisliste!H51)=0),"",IFERROR($H$5*$D$5/(Stromkreisliste!H51*INDEX({5,10,20,14,3},MATCH(Stromkreisliste!G51,{"B","C","D","K","Z"},0))),""))</f>
        <v/>
      </c>
      <c r="L51" s="21" t="n"/>
      <c r="M51" s="21" t="n"/>
      <c r="N51" s="21" t="n"/>
      <c r="O51" s="21" t="n"/>
      <c r="P51" s="46">
        <f>IF(COUNTA(F51:I51,L51:O51)=0,"",IF(R51+S51+T51+U51&gt;0,"n.i.O.","i.O."))</f>
        <v/>
      </c>
      <c r="Q51" s="20" t="n"/>
      <c r="R51" s="47">
        <f>IF(OR(AND(ISNUMBER(F51),F51&lt;$F$5),AND(ISNUMBER(G51),G51&lt;$F$5)),1,0)</f>
        <v/>
      </c>
      <c r="S51" s="47">
        <f>IF(AND(ISNUMBER(I51),N(K51)&gt;0,I51&gt;N(K51)),1,0)</f>
        <v/>
      </c>
      <c r="T51" s="47">
        <f>IF(OR(AND(ISNUMBER(L51),N(Stromkreisliste!K51)&gt;0,OR(L51&gt;N(Stromkreisliste!K51),L51&lt;0.5*N(Stromkreisliste!K51))),AND(ISNUMBER(M51),M51&gt;$J$5),AND(ISNUMBER(N51),N51&gt;$L$5)),1,0)</f>
        <v/>
      </c>
      <c r="U51" s="47">
        <f>IF(O51="links",1,0)</f>
        <v/>
      </c>
    </row>
    <row r="52" ht="16" customHeight="1">
      <c r="A52" s="19">
        <f>IF(Stromkreisliste!B52="","",ROW()-6)</f>
        <v/>
      </c>
      <c r="B52" s="41">
        <f>IF(Stromkreisliste!B52="","",Stromkreisliste!B52)</f>
        <v/>
      </c>
      <c r="C52" s="42">
        <f>IF(Stromkreisliste!B52="","",Stromkreisliste!P52&amp;IF(AND(Stromkreisliste!P52&lt;&gt;"",Stromkreisliste!Q52&lt;&gt;"")," – ","")&amp;Stromkreisliste!Q52)</f>
        <v/>
      </c>
      <c r="D52" s="42">
        <f>IF(Stromkreisliste!B52="","",IF(Stromkreisliste!F52="FI/RCD","FI "&amp;Stromkreisliste!H52&amp;" A / "&amp;Stromkreisliste!K52&amp;" mA",IF(Stromkreisliste!F52="FI/LS (RCBO)","FI/LS "&amp;Stromkreisliste!G52&amp;Stromkreisliste!H52&amp;" / "&amp;Stromkreisliste!K52&amp;" mA",IF(Stromkreisliste!G52="",Stromkreisliste!F52&amp;IF(Stromkreisliste!H52="",""," "&amp;Stromkreisliste!H52&amp;" A"),Stromkreisliste!G52&amp;Stromkreisliste!H52))))</f>
        <v/>
      </c>
      <c r="E52" s="42">
        <f>IF(Stromkreisliste!B52="","",TRIM(Stromkreisliste!M52&amp;" "&amp;Stromkreisliste!N52))</f>
        <v/>
      </c>
      <c r="F52" s="43" t="n"/>
      <c r="G52" s="43" t="n"/>
      <c r="H52" s="43" t="n"/>
      <c r="I52" s="43" t="n"/>
      <c r="J52" s="44">
        <f>IF(N(I52)&gt;0,$D$5/I52,"")</f>
        <v/>
      </c>
      <c r="K52" s="45">
        <f>IF(OR(Stromkreisliste!B52="",N(Stromkreisliste!H52)=0),"",IFERROR($H$5*$D$5/(Stromkreisliste!H52*INDEX({5,10,20,14,3},MATCH(Stromkreisliste!G52,{"B","C","D","K","Z"},0))),""))</f>
        <v/>
      </c>
      <c r="L52" s="21" t="n"/>
      <c r="M52" s="21" t="n"/>
      <c r="N52" s="21" t="n"/>
      <c r="O52" s="21" t="n"/>
      <c r="P52" s="46">
        <f>IF(COUNTA(F52:I52,L52:O52)=0,"",IF(R52+S52+T52+U52&gt;0,"n.i.O.","i.O."))</f>
        <v/>
      </c>
      <c r="Q52" s="20" t="n"/>
      <c r="R52" s="47">
        <f>IF(OR(AND(ISNUMBER(F52),F52&lt;$F$5),AND(ISNUMBER(G52),G52&lt;$F$5)),1,0)</f>
        <v/>
      </c>
      <c r="S52" s="47">
        <f>IF(AND(ISNUMBER(I52),N(K52)&gt;0,I52&gt;N(K52)),1,0)</f>
        <v/>
      </c>
      <c r="T52" s="47">
        <f>IF(OR(AND(ISNUMBER(L52),N(Stromkreisliste!K52)&gt;0,OR(L52&gt;N(Stromkreisliste!K52),L52&lt;0.5*N(Stromkreisliste!K52))),AND(ISNUMBER(M52),M52&gt;$J$5),AND(ISNUMBER(N52),N52&gt;$L$5)),1,0)</f>
        <v/>
      </c>
      <c r="U52" s="47">
        <f>IF(O52="links",1,0)</f>
        <v/>
      </c>
    </row>
    <row r="53" ht="16" customHeight="1">
      <c r="A53" s="19">
        <f>IF(Stromkreisliste!B53="","",ROW()-6)</f>
        <v/>
      </c>
      <c r="B53" s="41">
        <f>IF(Stromkreisliste!B53="","",Stromkreisliste!B53)</f>
        <v/>
      </c>
      <c r="C53" s="42">
        <f>IF(Stromkreisliste!B53="","",Stromkreisliste!P53&amp;IF(AND(Stromkreisliste!P53&lt;&gt;"",Stromkreisliste!Q53&lt;&gt;"")," – ","")&amp;Stromkreisliste!Q53)</f>
        <v/>
      </c>
      <c r="D53" s="42">
        <f>IF(Stromkreisliste!B53="","",IF(Stromkreisliste!F53="FI/RCD","FI "&amp;Stromkreisliste!H53&amp;" A / "&amp;Stromkreisliste!K53&amp;" mA",IF(Stromkreisliste!F53="FI/LS (RCBO)","FI/LS "&amp;Stromkreisliste!G53&amp;Stromkreisliste!H53&amp;" / "&amp;Stromkreisliste!K53&amp;" mA",IF(Stromkreisliste!G53="",Stromkreisliste!F53&amp;IF(Stromkreisliste!H53="",""," "&amp;Stromkreisliste!H53&amp;" A"),Stromkreisliste!G53&amp;Stromkreisliste!H53))))</f>
        <v/>
      </c>
      <c r="E53" s="42">
        <f>IF(Stromkreisliste!B53="","",TRIM(Stromkreisliste!M53&amp;" "&amp;Stromkreisliste!N53))</f>
        <v/>
      </c>
      <c r="F53" s="43" t="n"/>
      <c r="G53" s="43" t="n"/>
      <c r="H53" s="43" t="n"/>
      <c r="I53" s="43" t="n"/>
      <c r="J53" s="44">
        <f>IF(N(I53)&gt;0,$D$5/I53,"")</f>
        <v/>
      </c>
      <c r="K53" s="45">
        <f>IF(OR(Stromkreisliste!B53="",N(Stromkreisliste!H53)=0),"",IFERROR($H$5*$D$5/(Stromkreisliste!H53*INDEX({5,10,20,14,3},MATCH(Stromkreisliste!G53,{"B","C","D","K","Z"},0))),""))</f>
        <v/>
      </c>
      <c r="L53" s="21" t="n"/>
      <c r="M53" s="21" t="n"/>
      <c r="N53" s="21" t="n"/>
      <c r="O53" s="21" t="n"/>
      <c r="P53" s="46">
        <f>IF(COUNTA(F53:I53,L53:O53)=0,"",IF(R53+S53+T53+U53&gt;0,"n.i.O.","i.O."))</f>
        <v/>
      </c>
      <c r="Q53" s="20" t="n"/>
      <c r="R53" s="47">
        <f>IF(OR(AND(ISNUMBER(F53),F53&lt;$F$5),AND(ISNUMBER(G53),G53&lt;$F$5)),1,0)</f>
        <v/>
      </c>
      <c r="S53" s="47">
        <f>IF(AND(ISNUMBER(I53),N(K53)&gt;0,I53&gt;N(K53)),1,0)</f>
        <v/>
      </c>
      <c r="T53" s="47">
        <f>IF(OR(AND(ISNUMBER(L53),N(Stromkreisliste!K53)&gt;0,OR(L53&gt;N(Stromkreisliste!K53),L53&lt;0.5*N(Stromkreisliste!K53))),AND(ISNUMBER(M53),M53&gt;$J$5),AND(ISNUMBER(N53),N53&gt;$L$5)),1,0)</f>
        <v/>
      </c>
      <c r="U53" s="47">
        <f>IF(O53="links",1,0)</f>
        <v/>
      </c>
    </row>
    <row r="54" ht="16" customHeight="1">
      <c r="A54" s="19">
        <f>IF(Stromkreisliste!B54="","",ROW()-6)</f>
        <v/>
      </c>
      <c r="B54" s="41">
        <f>IF(Stromkreisliste!B54="","",Stromkreisliste!B54)</f>
        <v/>
      </c>
      <c r="C54" s="42">
        <f>IF(Stromkreisliste!B54="","",Stromkreisliste!P54&amp;IF(AND(Stromkreisliste!P54&lt;&gt;"",Stromkreisliste!Q54&lt;&gt;"")," – ","")&amp;Stromkreisliste!Q54)</f>
        <v/>
      </c>
      <c r="D54" s="42">
        <f>IF(Stromkreisliste!B54="","",IF(Stromkreisliste!F54="FI/RCD","FI "&amp;Stromkreisliste!H54&amp;" A / "&amp;Stromkreisliste!K54&amp;" mA",IF(Stromkreisliste!F54="FI/LS (RCBO)","FI/LS "&amp;Stromkreisliste!G54&amp;Stromkreisliste!H54&amp;" / "&amp;Stromkreisliste!K54&amp;" mA",IF(Stromkreisliste!G54="",Stromkreisliste!F54&amp;IF(Stromkreisliste!H54="",""," "&amp;Stromkreisliste!H54&amp;" A"),Stromkreisliste!G54&amp;Stromkreisliste!H54))))</f>
        <v/>
      </c>
      <c r="E54" s="42">
        <f>IF(Stromkreisliste!B54="","",TRIM(Stromkreisliste!M54&amp;" "&amp;Stromkreisliste!N54))</f>
        <v/>
      </c>
      <c r="F54" s="43" t="n"/>
      <c r="G54" s="43" t="n"/>
      <c r="H54" s="43" t="n"/>
      <c r="I54" s="43" t="n"/>
      <c r="J54" s="44">
        <f>IF(N(I54)&gt;0,$D$5/I54,"")</f>
        <v/>
      </c>
      <c r="K54" s="45">
        <f>IF(OR(Stromkreisliste!B54="",N(Stromkreisliste!H54)=0),"",IFERROR($H$5*$D$5/(Stromkreisliste!H54*INDEX({5,10,20,14,3},MATCH(Stromkreisliste!G54,{"B","C","D","K","Z"},0))),""))</f>
        <v/>
      </c>
      <c r="L54" s="21" t="n"/>
      <c r="M54" s="21" t="n"/>
      <c r="N54" s="21" t="n"/>
      <c r="O54" s="21" t="n"/>
      <c r="P54" s="46">
        <f>IF(COUNTA(F54:I54,L54:O54)=0,"",IF(R54+S54+T54+U54&gt;0,"n.i.O.","i.O."))</f>
        <v/>
      </c>
      <c r="Q54" s="20" t="n"/>
      <c r="R54" s="47">
        <f>IF(OR(AND(ISNUMBER(F54),F54&lt;$F$5),AND(ISNUMBER(G54),G54&lt;$F$5)),1,0)</f>
        <v/>
      </c>
      <c r="S54" s="47">
        <f>IF(AND(ISNUMBER(I54),N(K54)&gt;0,I54&gt;N(K54)),1,0)</f>
        <v/>
      </c>
      <c r="T54" s="47">
        <f>IF(OR(AND(ISNUMBER(L54),N(Stromkreisliste!K54)&gt;0,OR(L54&gt;N(Stromkreisliste!K54),L54&lt;0.5*N(Stromkreisliste!K54))),AND(ISNUMBER(M54),M54&gt;$J$5),AND(ISNUMBER(N54),N54&gt;$L$5)),1,0)</f>
        <v/>
      </c>
      <c r="U54" s="47">
        <f>IF(O54="links",1,0)</f>
        <v/>
      </c>
    </row>
    <row r="55" ht="16" customHeight="1">
      <c r="A55" s="19">
        <f>IF(Stromkreisliste!B55="","",ROW()-6)</f>
        <v/>
      </c>
      <c r="B55" s="41">
        <f>IF(Stromkreisliste!B55="","",Stromkreisliste!B55)</f>
        <v/>
      </c>
      <c r="C55" s="42">
        <f>IF(Stromkreisliste!B55="","",Stromkreisliste!P55&amp;IF(AND(Stromkreisliste!P55&lt;&gt;"",Stromkreisliste!Q55&lt;&gt;"")," – ","")&amp;Stromkreisliste!Q55)</f>
        <v/>
      </c>
      <c r="D55" s="42">
        <f>IF(Stromkreisliste!B55="","",IF(Stromkreisliste!F55="FI/RCD","FI "&amp;Stromkreisliste!H55&amp;" A / "&amp;Stromkreisliste!K55&amp;" mA",IF(Stromkreisliste!F55="FI/LS (RCBO)","FI/LS "&amp;Stromkreisliste!G55&amp;Stromkreisliste!H55&amp;" / "&amp;Stromkreisliste!K55&amp;" mA",IF(Stromkreisliste!G55="",Stromkreisliste!F55&amp;IF(Stromkreisliste!H55="",""," "&amp;Stromkreisliste!H55&amp;" A"),Stromkreisliste!G55&amp;Stromkreisliste!H55))))</f>
        <v/>
      </c>
      <c r="E55" s="42">
        <f>IF(Stromkreisliste!B55="","",TRIM(Stromkreisliste!M55&amp;" "&amp;Stromkreisliste!N55))</f>
        <v/>
      </c>
      <c r="F55" s="43" t="n"/>
      <c r="G55" s="43" t="n"/>
      <c r="H55" s="43" t="n"/>
      <c r="I55" s="43" t="n"/>
      <c r="J55" s="44">
        <f>IF(N(I55)&gt;0,$D$5/I55,"")</f>
        <v/>
      </c>
      <c r="K55" s="45">
        <f>IF(OR(Stromkreisliste!B55="",N(Stromkreisliste!H55)=0),"",IFERROR($H$5*$D$5/(Stromkreisliste!H55*INDEX({5,10,20,14,3},MATCH(Stromkreisliste!G55,{"B","C","D","K","Z"},0))),""))</f>
        <v/>
      </c>
      <c r="L55" s="21" t="n"/>
      <c r="M55" s="21" t="n"/>
      <c r="N55" s="21" t="n"/>
      <c r="O55" s="21" t="n"/>
      <c r="P55" s="46">
        <f>IF(COUNTA(F55:I55,L55:O55)=0,"",IF(R55+S55+T55+U55&gt;0,"n.i.O.","i.O."))</f>
        <v/>
      </c>
      <c r="Q55" s="20" t="n"/>
      <c r="R55" s="47">
        <f>IF(OR(AND(ISNUMBER(F55),F55&lt;$F$5),AND(ISNUMBER(G55),G55&lt;$F$5)),1,0)</f>
        <v/>
      </c>
      <c r="S55" s="47">
        <f>IF(AND(ISNUMBER(I55),N(K55)&gt;0,I55&gt;N(K55)),1,0)</f>
        <v/>
      </c>
      <c r="T55" s="47">
        <f>IF(OR(AND(ISNUMBER(L55),N(Stromkreisliste!K55)&gt;0,OR(L55&gt;N(Stromkreisliste!K55),L55&lt;0.5*N(Stromkreisliste!K55))),AND(ISNUMBER(M55),M55&gt;$J$5),AND(ISNUMBER(N55),N55&gt;$L$5)),1,0)</f>
        <v/>
      </c>
      <c r="U55" s="47">
        <f>IF(O55="links",1,0)</f>
        <v/>
      </c>
    </row>
    <row r="56" ht="16" customHeight="1">
      <c r="A56" s="19">
        <f>IF(Stromkreisliste!B56="","",ROW()-6)</f>
        <v/>
      </c>
      <c r="B56" s="41">
        <f>IF(Stromkreisliste!B56="","",Stromkreisliste!B56)</f>
        <v/>
      </c>
      <c r="C56" s="42">
        <f>IF(Stromkreisliste!B56="","",Stromkreisliste!P56&amp;IF(AND(Stromkreisliste!P56&lt;&gt;"",Stromkreisliste!Q56&lt;&gt;"")," – ","")&amp;Stromkreisliste!Q56)</f>
        <v/>
      </c>
      <c r="D56" s="42">
        <f>IF(Stromkreisliste!B56="","",IF(Stromkreisliste!F56="FI/RCD","FI "&amp;Stromkreisliste!H56&amp;" A / "&amp;Stromkreisliste!K56&amp;" mA",IF(Stromkreisliste!F56="FI/LS (RCBO)","FI/LS "&amp;Stromkreisliste!G56&amp;Stromkreisliste!H56&amp;" / "&amp;Stromkreisliste!K56&amp;" mA",IF(Stromkreisliste!G56="",Stromkreisliste!F56&amp;IF(Stromkreisliste!H56="",""," "&amp;Stromkreisliste!H56&amp;" A"),Stromkreisliste!G56&amp;Stromkreisliste!H56))))</f>
        <v/>
      </c>
      <c r="E56" s="42">
        <f>IF(Stromkreisliste!B56="","",TRIM(Stromkreisliste!M56&amp;" "&amp;Stromkreisliste!N56))</f>
        <v/>
      </c>
      <c r="F56" s="43" t="n"/>
      <c r="G56" s="43" t="n"/>
      <c r="H56" s="43" t="n"/>
      <c r="I56" s="43" t="n"/>
      <c r="J56" s="44">
        <f>IF(N(I56)&gt;0,$D$5/I56,"")</f>
        <v/>
      </c>
      <c r="K56" s="45">
        <f>IF(OR(Stromkreisliste!B56="",N(Stromkreisliste!H56)=0),"",IFERROR($H$5*$D$5/(Stromkreisliste!H56*INDEX({5,10,20,14,3},MATCH(Stromkreisliste!G56,{"B","C","D","K","Z"},0))),""))</f>
        <v/>
      </c>
      <c r="L56" s="21" t="n"/>
      <c r="M56" s="21" t="n"/>
      <c r="N56" s="21" t="n"/>
      <c r="O56" s="21" t="n"/>
      <c r="P56" s="46">
        <f>IF(COUNTA(F56:I56,L56:O56)=0,"",IF(R56+S56+T56+U56&gt;0,"n.i.O.","i.O."))</f>
        <v/>
      </c>
      <c r="Q56" s="20" t="n"/>
      <c r="R56" s="47">
        <f>IF(OR(AND(ISNUMBER(F56),F56&lt;$F$5),AND(ISNUMBER(G56),G56&lt;$F$5)),1,0)</f>
        <v/>
      </c>
      <c r="S56" s="47">
        <f>IF(AND(ISNUMBER(I56),N(K56)&gt;0,I56&gt;N(K56)),1,0)</f>
        <v/>
      </c>
      <c r="T56" s="47">
        <f>IF(OR(AND(ISNUMBER(L56),N(Stromkreisliste!K56)&gt;0,OR(L56&gt;N(Stromkreisliste!K56),L56&lt;0.5*N(Stromkreisliste!K56))),AND(ISNUMBER(M56),M56&gt;$J$5),AND(ISNUMBER(N56),N56&gt;$L$5)),1,0)</f>
        <v/>
      </c>
      <c r="U56" s="47">
        <f>IF(O56="links",1,0)</f>
        <v/>
      </c>
    </row>
    <row r="58" ht="28" customHeight="1">
      <c r="B58" s="35" t="n"/>
      <c r="C58" s="35" t="n"/>
      <c r="I58" s="35" t="n"/>
      <c r="J58" s="35" t="n"/>
      <c r="K58" s="35" t="n"/>
      <c r="L58" s="35" t="n"/>
      <c r="M58" s="35" t="n"/>
      <c r="N58" s="35" t="n"/>
      <c r="O58" s="35" t="n"/>
      <c r="P58" s="35" t="n"/>
    </row>
    <row r="59">
      <c r="B59" s="36" t="inlineStr">
        <is>
          <t>Ort, Datum</t>
        </is>
      </c>
      <c r="I59" s="36">
        <f>"Unterschrift Prüfer: "&amp;Anlage!B26</f>
        <v/>
      </c>
    </row>
  </sheetData>
  <autoFilter ref="A6:Q56"/>
  <mergeCells count="7">
    <mergeCell ref="A4:B4"/>
    <mergeCell ref="P4:Q4"/>
    <mergeCell ref="A5:B5"/>
    <mergeCell ref="E4:J4"/>
    <mergeCell ref="K4:L4"/>
    <mergeCell ref="M5:Q5"/>
    <mergeCell ref="M4:N4"/>
  </mergeCells>
  <conditionalFormatting sqref="P7:P56">
    <cfRule type="cellIs" priority="1" operator="equal" dxfId="2">
      <formula>"n.i.O."</formula>
    </cfRule>
    <cfRule type="cellIs" priority="2" operator="equal" dxfId="3">
      <formula>"i.O."</formula>
    </cfRule>
  </conditionalFormatting>
  <conditionalFormatting sqref="F7:G56">
    <cfRule type="expression" priority="3" dxfId="1">
      <formula>$R7=1</formula>
    </cfRule>
  </conditionalFormatting>
  <conditionalFormatting sqref="I7:I56">
    <cfRule type="expression" priority="4" dxfId="1">
      <formula>$S7=1</formula>
    </cfRule>
  </conditionalFormatting>
  <conditionalFormatting sqref="L7:N56">
    <cfRule type="expression" priority="5" dxfId="1">
      <formula>$T7=1</formula>
    </cfRule>
  </conditionalFormatting>
  <dataValidations count="1">
    <dataValidation sqref="O7:O56" showDropDown="0" showInputMessage="0" showErrorMessage="0" allowBlank="1" type="list">
      <formula1>"rechts,links,–"</formula1>
    </dataValidation>
  </dataValidations>
  <printOptions horizontalCentered="1"/>
  <pageMargins left="0.5" right="0.5" top="0.55" bottom="0.65" header="0.25" footer="0.3"/>
  <pageSetup orientation="landscape" paperSize="9" fitToHeight="0" fitToWidth="1"/>
  <headerFooter>
    <oddHeader/>
    <oddFooter>&amp;L&amp;"Arial,Regular"&amp;7 &amp;K6E6A66Muster Elektrotechnik GmbH · Max Mustermann, Elektrotechnikermeister · 0123 456789 · info@muster-elektro.de&amp;R&amp;"Arial,Regular"&amp;7 &amp;K6E6A66Seite &amp;P von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 Mustermann</dc:creator>
  <dcterms:created xsi:type="dcterms:W3CDTF">2026-10-12T07:53:23Z</dcterms:created>
  <dcterms:modified xsi:type="dcterms:W3CDTF">2026-10-12T07:56:08Z</dcterms:modified>
</cp:coreProperties>
</file>